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" sheetId="1" state="visible" r:id="rId3"/>
    <sheet name="Multiplicado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<sst xmlns="http://schemas.openxmlformats.org/spreadsheetml/2006/main" count="99" uniqueCount="88">
  <si>
    <t xml:space="preserve">⬛ ELITE</t>
  </si>
  <si>
    <t xml:space="preserve">CALCULADORA DE LUCRO REAL</t>
  </si>
  <si>
    <t xml:space="preserve">Calcule margem, lucro e ROI da sua revenda — preencha somente os campos azuis</t>
  </si>
  <si>
    <t xml:space="preserve">01 — DADOS DA COMPRA NO ATACADO</t>
  </si>
  <si>
    <t xml:space="preserve">Item</t>
  </si>
  <si>
    <t xml:space="preserve">Valor</t>
  </si>
  <si>
    <t xml:space="preserve">Observacao</t>
  </si>
  <si>
    <t xml:space="preserve">Quantidade de pecas</t>
  </si>
  <si>
    <t xml:space="preserve">Quantas pecas no pedido</t>
  </si>
  <si>
    <t xml:space="preserve">Preco unitario (R$)</t>
  </si>
  <si>
    <t xml:space="preserve">Preco que paga ao fornecedor</t>
  </si>
  <si>
    <t xml:space="preserve">Frete total do pedido (R$)</t>
  </si>
  <si>
    <t xml:space="preserve">Correios, transportadora ou onibus</t>
  </si>
  <si>
    <t xml:space="preserve">Embalagem por peca (R$)</t>
  </si>
  <si>
    <t xml:space="preserve">Sacola + papel seda + etiqueta</t>
  </si>
  <si>
    <t xml:space="preserve">Taxa de pagamento (%)</t>
  </si>
  <si>
    <t xml:space="preserve">Maquininha ou Pix - geralmente 1% a 4%</t>
  </si>
  <si>
    <t xml:space="preserve">02 — CUSTOS CALCULADOS (automatico)</t>
  </si>
  <si>
    <t xml:space="preserve">Custo total das pecas</t>
  </si>
  <si>
    <t xml:space="preserve">Frete por peca</t>
  </si>
  <si>
    <t xml:space="preserve">Custo total por peca</t>
  </si>
  <si>
    <t xml:space="preserve">Custo total do investimento</t>
  </si>
  <si>
    <t xml:space="preserve">03 — DEFINA SUA PRECIFICACAO</t>
  </si>
  <si>
    <t xml:space="preserve">Multiplicador de venda</t>
  </si>
  <si>
    <t xml:space="preserve">Sugerido: 2.5x a 3.0x para moda casual / 2.0x para perfumes</t>
  </si>
  <si>
    <t xml:space="preserve">Preco de venda sugerido</t>
  </si>
  <si>
    <t xml:space="preserve">Voce pode arredondar para baixo (psicologia de preco)</t>
  </si>
  <si>
    <t xml:space="preserve">Preco de venda FINAL (que voce vai cobrar)</t>
  </si>
  <si>
    <t xml:space="preserve">Ajuste para preco psicologico (R$ 65 ao inves de R$ 67,50)</t>
  </si>
  <si>
    <t xml:space="preserve">04 — RESULTADO DA OPERACAO</t>
  </si>
  <si>
    <t xml:space="preserve">Faturamento bruto (todas pecas vendidas)</t>
  </si>
  <si>
    <t xml:space="preserve">Taxa de pagamento descontada</t>
  </si>
  <si>
    <t xml:space="preserve">Faturamento liquido</t>
  </si>
  <si>
    <t xml:space="preserve">LUCRO LIQUIDO</t>
  </si>
  <si>
    <t xml:space="preserve">Lucro por peca</t>
  </si>
  <si>
    <t xml:space="preserve">Margem liquida (%)</t>
  </si>
  <si>
    <t xml:space="preserve">ROI (retorno sobre investimento)</t>
  </si>
  <si>
    <t xml:space="preserve">05 — SIMULACAO COM DESCONTO (e se eu der 10%?)</t>
  </si>
  <si>
    <t xml:space="preserve">Desconto que voce pretende dar (%)</t>
  </si>
  <si>
    <t xml:space="preserve">Quanto voce esta disposto a abater</t>
  </si>
  <si>
    <t xml:space="preserve">Preco com desconto</t>
  </si>
  <si>
    <t xml:space="preserve">Lucro liquido COM desconto</t>
  </si>
  <si>
    <t xml:space="preserve">Quanto voce DEIXA de ganhar</t>
  </si>
  <si>
    <t xml:space="preserve">⚠️ INSTRUCOES</t>
  </si>
  <si>
    <t xml:space="preserve">• Preencha apenas os campos com fundo amarelo (sao os inputs).</t>
  </si>
  <si>
    <t xml:space="preserve">• Os calculos sao automaticos - nao mude as celulas com fundo escuro.</t>
  </si>
  <si>
    <t xml:space="preserve">• O lucro liquido ja considera taxa de pagamento (Pix ou cartao).</t>
  </si>
  <si>
    <t xml:space="preserve">• ROI &gt; 100% significa que voce dobra seu investimento. Excelente!</t>
  </si>
  <si>
    <t xml:space="preserve">• Se o lucro liquido ficar negativo, ajuste o preco final para cima.</t>
  </si>
  <si>
    <t xml:space="preserve">• Use a simulacao de desconto antes de oferecer promocao para ver impacto real.</t>
  </si>
  <si>
    <t xml:space="preserve">TABELA DE MULTIPLICADORES POR NICHO</t>
  </si>
  <si>
    <t xml:space="preserve">Nicho</t>
  </si>
  <si>
    <t xml:space="preserve">Multiplicador</t>
  </si>
  <si>
    <t xml:space="preserve">Margem Bruta</t>
  </si>
  <si>
    <t xml:space="preserve">Moda feminina casual</t>
  </si>
  <si>
    <t xml:space="preserve">2.5x - 3.0x</t>
  </si>
  <si>
    <t xml:space="preserve">60% - 67%</t>
  </si>
  <si>
    <t xml:space="preserve">Maior giro</t>
  </si>
  <si>
    <t xml:space="preserve">Jeans feminino</t>
  </si>
  <si>
    <t xml:space="preserve">2.0x - 2.8x</t>
  </si>
  <si>
    <t xml:space="preserve">50% - 64%</t>
  </si>
  <si>
    <t xml:space="preserve">Custo unitario alto</t>
  </si>
  <si>
    <t xml:space="preserve">Conjuntos infantis</t>
  </si>
  <si>
    <t xml:space="preserve">2.5x - 3.5x</t>
  </si>
  <si>
    <t xml:space="preserve">60% - 71%</t>
  </si>
  <si>
    <t xml:space="preserve">Compra recorrente</t>
  </si>
  <si>
    <t xml:space="preserve">Fitness / Moda praia</t>
  </si>
  <si>
    <t xml:space="preserve">Sazonal</t>
  </si>
  <si>
    <t xml:space="preserve">Moda evangelica</t>
  </si>
  <si>
    <t xml:space="preserve">2.0x - 3.0x</t>
  </si>
  <si>
    <t xml:space="preserve">50% - 67%</t>
  </si>
  <si>
    <t xml:space="preserve">Nicho fiel</t>
  </si>
  <si>
    <t xml:space="preserve">Calcados femininos</t>
  </si>
  <si>
    <t xml:space="preserve">2.0x - 2.5x</t>
  </si>
  <si>
    <t xml:space="preserve">50% - 60%</t>
  </si>
  <si>
    <t xml:space="preserve">Cuidado numeracao</t>
  </si>
  <si>
    <t xml:space="preserve">Moda masculina</t>
  </si>
  <si>
    <t xml:space="preserve">Ticket alto</t>
  </si>
  <si>
    <t xml:space="preserve">Camisetas / Polo</t>
  </si>
  <si>
    <t xml:space="preserve">Alto giro</t>
  </si>
  <si>
    <t xml:space="preserve">Pijamas</t>
  </si>
  <si>
    <t xml:space="preserve">Inverno vende</t>
  </si>
  <si>
    <t xml:space="preserve">Perfumes importados</t>
  </si>
  <si>
    <t xml:space="preserve">1.8x - 2.5x</t>
  </si>
  <si>
    <t xml:space="preserve">44% - 60%</t>
  </si>
  <si>
    <t xml:space="preserve">Alto ticket</t>
  </si>
  <si>
    <t xml:space="preserve">Cosmeticos</t>
  </si>
  <si>
    <t xml:space="preserve">Recorrencia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</si>
</sst>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&quot;R$&quot;#,##0.00"/>
    <numFmt numFmtId="167" formatCode="0.00%"/>
    <numFmt numFmtId="168" formatCode="0.0\x"/>
    <numFmt numFmtId="169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D4AF37"/>
      <name val="Arial"/>
      <family val="0"/>
      <charset val="1"/>
    </font>
    <font>
      <b val="true"/>
      <sz val="20"/>
      <color rgb="FFFAFAFA"/>
      <name val="Arial"/>
      <family val="0"/>
      <charset val="1"/>
    </font>
    <font>
      <i val="true"/>
      <sz val="10"/>
      <color rgb="FFA1A1AA"/>
      <name val="Arial"/>
      <family val="0"/>
      <charset val="1"/>
    </font>
    <font>
      <b val="true"/>
      <sz val="11"/>
      <color rgb="FFD4AF37"/>
      <name val="Arial"/>
      <family val="0"/>
      <charset val="1"/>
    </font>
    <font>
      <b val="true"/>
      <sz val="11"/>
      <color rgb="FF0A0A0A"/>
      <name val="Arial"/>
      <family val="0"/>
      <charset val="1"/>
    </font>
    <font>
      <sz val="10"/>
      <color rgb="FFA1A1A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A1A1AA"/>
      <name val="Arial"/>
      <family val="0"/>
      <charset val="1"/>
    </font>
    <font>
      <sz val="10"/>
      <color rgb="FFFAFAFA"/>
      <name val="Arial"/>
      <family val="0"/>
      <charset val="1"/>
    </font>
    <font>
      <b val="true"/>
      <sz val="14"/>
      <color rgb="FFD4AF37"/>
      <name val="Arial"/>
      <family val="0"/>
      <charset val="1"/>
    </font>
    <font>
      <sz val="9"/>
      <color rgb="FFD4D4D8"/>
      <name val="Arial"/>
      <family val="0"/>
      <charset val="1"/>
    </font>
    <font>
      <b val="true"/>
      <sz val="14"/>
      <color rgb="FFFAFAFA"/>
      <name val="Arial"/>
      <family val="0"/>
      <charset val="1"/>
    </font>
    <font>
      <sz val="9"/>
      <color rgb="FFA1A1A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D4AF37"/>
        <bgColor rgb="FFFFCC00"/>
      </patternFill>
    </fill>
    <fill>
      <patternFill patternType="solid">
        <fgColor rgb="FF141414"/>
        <bgColor rgb="FF1C1C1C"/>
      </patternFill>
    </fill>
    <fill>
      <patternFill patternType="solid">
        <fgColor rgb="FFFFFAE6"/>
        <bgColor rgb="FFFAFAFA"/>
      </patternFill>
    </fill>
    <fill>
      <patternFill patternType="solid">
        <fgColor rgb="FF1C1C1C"/>
        <bgColor rgb="FF1F1A0A"/>
      </patternFill>
    </fill>
    <fill>
      <patternFill patternType="solid">
        <fgColor rgb="FF1F1A0A"/>
        <bgColor rgb="FF1C1C1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2A2A2A"/>
      </left>
      <right/>
      <top style="thin">
        <color rgb="FF2A2A2A"/>
      </top>
      <bottom style="thin">
        <color rgb="FF2A2A2A"/>
      </bottom>
      <diagonal/>
    </border>
    <border diagonalUp="false" diagonalDown="false">
      <left style="medium">
        <color rgb="FFD4AF37"/>
      </left>
      <right/>
      <top style="medium">
        <color rgb="FFD4AF37"/>
      </top>
      <bottom style="medium">
        <color rgb="FFD4AF37"/>
      </bottom>
      <diagonal/>
    </border>
    <border diagonalUp="false" diagonalDown="false">
      <left style="thin">
        <color rgb="FF2A2A2A"/>
      </left>
      <right style="thin">
        <color rgb="FF2A2A2A"/>
      </right>
      <top style="thin">
        <color rgb="FF2A2A2A"/>
      </top>
      <bottom style="thin">
        <color rgb="FF2A2A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5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0" fillId="5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3" fillId="7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13" fillId="7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10" fillId="5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1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FA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A0A"/>
      <rgbColor rgb="FF808000"/>
      <rgbColor rgb="FF800080"/>
      <rgbColor rgb="FF008080"/>
      <rgbColor rgb="FFC0C0C0"/>
      <rgbColor rgb="FF808080"/>
      <rgbColor rgb="FF9999FF"/>
      <rgbColor rgb="FF993366"/>
      <rgbColor rgb="FFFFFAE6"/>
      <rgbColor rgb="FFCCFFFF"/>
      <rgbColor rgb="FF660066"/>
      <rgbColor rgb="FFFF8080"/>
      <rgbColor rgb="FF0066CC"/>
      <rgbColor rgb="FFD4D4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F37"/>
      <rgbColor rgb="FFFF6600"/>
      <rgbColor rgb="FF666699"/>
      <rgbColor rgb="FFA1A1AA"/>
      <rgbColor rgb="FF141414"/>
      <rgbColor rgb="FF339966"/>
      <rgbColor rgb="FF1C1C1C"/>
      <rgbColor rgb="FF1F1A0A"/>
      <rgbColor rgb="FF993300"/>
      <rgbColor rgb="FF993366"/>
      <rgbColor rgb="FF333399"/>
      <rgbColor rgb="FF2A2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5"/>
    <col collapsed="false" customWidth="true" hidden="false" outlineLevel="0" max="5" min="5" style="0" width="20"/>
    <col collapsed="false" customWidth="true" hidden="false" outlineLevel="0" max="7" min="6" style="0" width="12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0</v>
      </c>
      <c r="B2" s="1"/>
      <c r="C2" s="1"/>
      <c r="D2" s="1"/>
      <c r="E2" s="1"/>
      <c r="F2" s="1"/>
      <c r="G2" s="1"/>
    </row>
    <row r="3" customFormat="false" ht="34.5" hidden="false" customHeight="true" outlineLevel="0" collapsed="false">
      <c r="A3" s="3" t="s">
        <v>1</v>
      </c>
      <c r="B3" s="3"/>
      <c r="C3" s="3"/>
      <c r="D3" s="3"/>
      <c r="E3" s="3"/>
      <c r="F3" s="3"/>
      <c r="G3" s="3"/>
    </row>
    <row r="4" customFormat="false" ht="18" hidden="false" customHeight="true" outlineLevel="0" collapsed="false">
      <c r="A4" s="4" t="s">
        <v>2</v>
      </c>
      <c r="B4" s="4"/>
      <c r="C4" s="4"/>
      <c r="D4" s="4"/>
      <c r="E4" s="4"/>
      <c r="F4" s="4"/>
      <c r="G4" s="4"/>
    </row>
    <row r="5" customFormat="false" ht="3.75" hidden="false" customHeight="true" outlineLevel="0" collapsed="false">
      <c r="A5" s="5"/>
      <c r="B5" s="5"/>
      <c r="C5" s="5"/>
      <c r="D5" s="5"/>
      <c r="E5" s="5"/>
      <c r="F5" s="5"/>
      <c r="G5" s="5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</row>
    <row r="7" customFormat="false" ht="21.75" hidden="false" customHeight="true" outlineLevel="0" collapsed="false">
      <c r="A7" s="6" t="s">
        <v>3</v>
      </c>
      <c r="B7" s="6"/>
      <c r="C7" s="6"/>
      <c r="D7" s="6"/>
      <c r="E7" s="6"/>
      <c r="F7" s="6"/>
      <c r="G7" s="6"/>
    </row>
    <row r="8" customFormat="false" ht="21.75" hidden="false" customHeight="true" outlineLevel="0" collapsed="false">
      <c r="A8" s="7" t="s">
        <v>4</v>
      </c>
      <c r="B8" s="7"/>
      <c r="C8" s="7" t="s">
        <v>5</v>
      </c>
      <c r="D8" s="7"/>
      <c r="E8" s="7" t="s">
        <v>6</v>
      </c>
      <c r="F8" s="7"/>
      <c r="G8" s="7"/>
    </row>
    <row r="9" customFormat="false" ht="19.5" hidden="false" customHeight="true" outlineLevel="0" collapsed="false">
      <c r="A9" s="8" t="s">
        <v>7</v>
      </c>
      <c r="B9" s="8"/>
      <c r="C9" s="9" t="n">
        <v>20</v>
      </c>
      <c r="D9" s="9"/>
      <c r="E9" s="10" t="s">
        <v>8</v>
      </c>
      <c r="F9" s="10"/>
      <c r="G9" s="10"/>
    </row>
    <row r="10" customFormat="false" ht="19.5" hidden="false" customHeight="true" outlineLevel="0" collapsed="false">
      <c r="A10" s="8" t="s">
        <v>9</v>
      </c>
      <c r="B10" s="8"/>
      <c r="C10" s="11" t="n">
        <v>22</v>
      </c>
      <c r="D10" s="11"/>
      <c r="E10" s="10" t="s">
        <v>10</v>
      </c>
      <c r="F10" s="10"/>
      <c r="G10" s="10"/>
    </row>
    <row r="11" customFormat="false" ht="19.5" hidden="false" customHeight="true" outlineLevel="0" collapsed="false">
      <c r="A11" s="8" t="s">
        <v>11</v>
      </c>
      <c r="B11" s="8"/>
      <c r="C11" s="11" t="n">
        <v>80</v>
      </c>
      <c r="D11" s="11"/>
      <c r="E11" s="10" t="s">
        <v>12</v>
      </c>
      <c r="F11" s="10"/>
      <c r="G11" s="10"/>
    </row>
    <row r="12" customFormat="false" ht="19.5" hidden="false" customHeight="true" outlineLevel="0" collapsed="false">
      <c r="A12" s="8" t="s">
        <v>13</v>
      </c>
      <c r="B12" s="8"/>
      <c r="C12" s="11" t="n">
        <v>2</v>
      </c>
      <c r="D12" s="11"/>
      <c r="E12" s="10" t="s">
        <v>14</v>
      </c>
      <c r="F12" s="10"/>
      <c r="G12" s="10"/>
    </row>
    <row r="13" customFormat="false" ht="19.5" hidden="false" customHeight="true" outlineLevel="0" collapsed="false">
      <c r="A13" s="8" t="s">
        <v>15</v>
      </c>
      <c r="B13" s="8"/>
      <c r="C13" s="12" t="n">
        <v>0.035</v>
      </c>
      <c r="D13" s="12"/>
      <c r="E13" s="10" t="s">
        <v>16</v>
      </c>
      <c r="F13" s="10"/>
      <c r="G13" s="10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</row>
    <row r="15" customFormat="false" ht="21.75" hidden="false" customHeight="true" outlineLevel="0" collapsed="false">
      <c r="A15" s="6" t="s">
        <v>17</v>
      </c>
      <c r="B15" s="6"/>
      <c r="C15" s="6"/>
      <c r="D15" s="6"/>
      <c r="E15" s="6"/>
      <c r="F15" s="6"/>
      <c r="G15" s="6"/>
    </row>
    <row r="16" customFormat="false" ht="19.5" hidden="false" customHeight="true" outlineLevel="0" collapsed="false">
      <c r="A16" s="13" t="s">
        <v>18</v>
      </c>
      <c r="B16" s="13"/>
      <c r="C16" s="14" t="n">
        <f aca="false">C9*C10</f>
        <v>440</v>
      </c>
      <c r="D16" s="14"/>
      <c r="E16" s="15"/>
      <c r="F16" s="15"/>
      <c r="G16" s="15"/>
    </row>
    <row r="17" customFormat="false" ht="19.5" hidden="false" customHeight="true" outlineLevel="0" collapsed="false">
      <c r="A17" s="13" t="s">
        <v>19</v>
      </c>
      <c r="B17" s="13"/>
      <c r="C17" s="14" t="n">
        <f aca="false">C11/C9</f>
        <v>4</v>
      </c>
      <c r="D17" s="14"/>
      <c r="E17" s="15"/>
      <c r="F17" s="15"/>
      <c r="G17" s="15"/>
    </row>
    <row r="18" customFormat="false" ht="19.5" hidden="false" customHeight="true" outlineLevel="0" collapsed="false">
      <c r="A18" s="13" t="s">
        <v>20</v>
      </c>
      <c r="B18" s="13"/>
      <c r="C18" s="14" t="n">
        <f aca="false">C10+(C11/C9)+C12</f>
        <v>28</v>
      </c>
      <c r="D18" s="14"/>
      <c r="E18" s="15"/>
      <c r="F18" s="15"/>
      <c r="G18" s="15"/>
    </row>
    <row r="19" customFormat="false" ht="19.5" hidden="false" customHeight="true" outlineLevel="0" collapsed="false">
      <c r="A19" s="13" t="s">
        <v>21</v>
      </c>
      <c r="B19" s="13"/>
      <c r="C19" s="14" t="n">
        <f aca="false">(C9*C10)+C11+(C12*C9)</f>
        <v>560</v>
      </c>
      <c r="D19" s="14"/>
      <c r="E19" s="15"/>
      <c r="F19" s="15"/>
      <c r="G19" s="15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</row>
    <row r="21" customFormat="false" ht="21.75" hidden="false" customHeight="true" outlineLevel="0" collapsed="false">
      <c r="A21" s="6" t="s">
        <v>22</v>
      </c>
      <c r="B21" s="6"/>
      <c r="C21" s="6"/>
      <c r="D21" s="6"/>
      <c r="E21" s="6"/>
      <c r="F21" s="6"/>
      <c r="G21" s="6"/>
    </row>
    <row r="22" customFormat="false" ht="19.5" hidden="false" customHeight="true" outlineLevel="0" collapsed="false">
      <c r="A22" s="8" t="s">
        <v>23</v>
      </c>
      <c r="B22" s="8"/>
      <c r="C22" s="16" t="n">
        <v>2.5</v>
      </c>
      <c r="D22" s="16"/>
      <c r="E22" s="10" t="s">
        <v>24</v>
      </c>
      <c r="F22" s="10"/>
      <c r="G22" s="10"/>
    </row>
    <row r="23" customFormat="false" ht="19.5" hidden="false" customHeight="true" outlineLevel="0" collapsed="false">
      <c r="A23" s="13" t="s">
        <v>25</v>
      </c>
      <c r="B23" s="13"/>
      <c r="C23" s="14" t="n">
        <f aca="false">C18*C22</f>
        <v>70</v>
      </c>
      <c r="D23" s="14"/>
      <c r="E23" s="17" t="s">
        <v>26</v>
      </c>
      <c r="F23" s="17"/>
      <c r="G23" s="17"/>
    </row>
    <row r="24" customFormat="false" ht="19.5" hidden="false" customHeight="true" outlineLevel="0" collapsed="false">
      <c r="A24" s="8" t="s">
        <v>27</v>
      </c>
      <c r="B24" s="8"/>
      <c r="C24" s="11" t="n">
        <v>65</v>
      </c>
      <c r="D24" s="11"/>
      <c r="E24" s="10" t="s">
        <v>28</v>
      </c>
      <c r="F24" s="10"/>
      <c r="G24" s="10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</row>
    <row r="26" customFormat="false" ht="21.75" hidden="false" customHeight="true" outlineLevel="0" collapsed="false">
      <c r="A26" s="6" t="s">
        <v>29</v>
      </c>
      <c r="B26" s="6"/>
      <c r="C26" s="6"/>
      <c r="D26" s="6"/>
      <c r="E26" s="6"/>
      <c r="F26" s="6"/>
      <c r="G26" s="6"/>
    </row>
    <row r="27" customFormat="false" ht="19.5" hidden="false" customHeight="true" outlineLevel="0" collapsed="false">
      <c r="A27" s="13" t="s">
        <v>30</v>
      </c>
      <c r="B27" s="13"/>
      <c r="C27" s="14" t="n">
        <f aca="false">C9*C24</f>
        <v>1300</v>
      </c>
      <c r="D27" s="14"/>
      <c r="E27" s="15"/>
      <c r="F27" s="15"/>
      <c r="G27" s="15"/>
    </row>
    <row r="28" customFormat="false" ht="19.5" hidden="false" customHeight="true" outlineLevel="0" collapsed="false">
      <c r="A28" s="13" t="s">
        <v>31</v>
      </c>
      <c r="B28" s="13"/>
      <c r="C28" s="14" t="n">
        <f aca="false">C9*C24*C13</f>
        <v>45.5</v>
      </c>
      <c r="D28" s="14"/>
      <c r="E28" s="15"/>
      <c r="F28" s="15"/>
      <c r="G28" s="15"/>
    </row>
    <row r="29" customFormat="false" ht="19.5" hidden="false" customHeight="true" outlineLevel="0" collapsed="false">
      <c r="A29" s="13" t="s">
        <v>32</v>
      </c>
      <c r="B29" s="13"/>
      <c r="C29" s="14" t="n">
        <f aca="false">(C9*C24)*(1-C13)</f>
        <v>1254.5</v>
      </c>
      <c r="D29" s="14"/>
      <c r="E29" s="15"/>
      <c r="F29" s="15"/>
      <c r="G29" s="15"/>
    </row>
    <row r="30" customFormat="false" ht="24" hidden="false" customHeight="true" outlineLevel="0" collapsed="false">
      <c r="A30" s="18" t="s">
        <v>33</v>
      </c>
      <c r="B30" s="18"/>
      <c r="C30" s="19" t="n">
        <f aca="false">((C9*C24)*(1-C13))-C19</f>
        <v>694.5</v>
      </c>
      <c r="D30" s="19"/>
      <c r="E30" s="20"/>
      <c r="F30" s="20"/>
      <c r="G30" s="20"/>
    </row>
    <row r="31" customFormat="false" ht="19.5" hidden="false" customHeight="true" outlineLevel="0" collapsed="false">
      <c r="A31" s="13" t="s">
        <v>34</v>
      </c>
      <c r="B31" s="13"/>
      <c r="C31" s="14" t="n">
        <f aca="false">(((C9*C24)*(1-C13))-C19)/C9</f>
        <v>34.725</v>
      </c>
      <c r="D31" s="14"/>
      <c r="E31" s="15"/>
      <c r="F31" s="15"/>
      <c r="G31" s="15"/>
    </row>
    <row r="32" customFormat="false" ht="19.5" hidden="false" customHeight="true" outlineLevel="0" collapsed="false">
      <c r="A32" s="13" t="s">
        <v>35</v>
      </c>
      <c r="B32" s="13"/>
      <c r="C32" s="21" t="n">
        <f aca="false">(((C9*C24)*(1-C13))-C19)/((C9*C24)*(1-C13))</f>
        <v>0.553607014746911</v>
      </c>
      <c r="D32" s="21"/>
      <c r="E32" s="15"/>
      <c r="F32" s="15"/>
      <c r="G32" s="15"/>
    </row>
    <row r="33" customFormat="false" ht="24" hidden="false" customHeight="true" outlineLevel="0" collapsed="false">
      <c r="A33" s="18" t="s">
        <v>36</v>
      </c>
      <c r="B33" s="18"/>
      <c r="C33" s="22" t="n">
        <f aca="false">(((C9*C24)*(1-C13))-C19)/C19</f>
        <v>1.24017857142857</v>
      </c>
      <c r="D33" s="22"/>
      <c r="E33" s="20"/>
      <c r="F33" s="20"/>
      <c r="G33" s="20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</row>
    <row r="35" customFormat="false" ht="21.75" hidden="false" customHeight="true" outlineLevel="0" collapsed="false">
      <c r="A35" s="6" t="s">
        <v>37</v>
      </c>
      <c r="B35" s="6"/>
      <c r="C35" s="6"/>
      <c r="D35" s="6"/>
      <c r="E35" s="6"/>
      <c r="F35" s="6"/>
      <c r="G35" s="6"/>
    </row>
    <row r="36" customFormat="false" ht="19.5" hidden="false" customHeight="true" outlineLevel="0" collapsed="false">
      <c r="A36" s="8" t="s">
        <v>38</v>
      </c>
      <c r="B36" s="8"/>
      <c r="C36" s="23" t="n">
        <v>0.1</v>
      </c>
      <c r="D36" s="23"/>
      <c r="E36" s="10" t="s">
        <v>39</v>
      </c>
      <c r="F36" s="10"/>
      <c r="G36" s="10"/>
    </row>
    <row r="37" customFormat="false" ht="19.5" hidden="false" customHeight="true" outlineLevel="0" collapsed="false">
      <c r="A37" s="13" t="s">
        <v>40</v>
      </c>
      <c r="B37" s="13"/>
      <c r="C37" s="14" t="n">
        <f aca="false">C24*(1-C36)</f>
        <v>58.5</v>
      </c>
      <c r="D37" s="14"/>
      <c r="E37" s="15"/>
      <c r="F37" s="15"/>
      <c r="G37" s="15"/>
    </row>
    <row r="38" customFormat="false" ht="19.5" hidden="false" customHeight="true" outlineLevel="0" collapsed="false">
      <c r="A38" s="13" t="s">
        <v>41</v>
      </c>
      <c r="B38" s="13"/>
      <c r="C38" s="14" t="n">
        <f aca="false">((C9*(C24*(1-C36)))*(1-C13))-C19</f>
        <v>569.05</v>
      </c>
      <c r="D38" s="14"/>
      <c r="E38" s="15"/>
      <c r="F38" s="15"/>
      <c r="G38" s="15"/>
    </row>
    <row r="39" customFormat="false" ht="19.5" hidden="false" customHeight="true" outlineLevel="0" collapsed="false">
      <c r="A39" s="13" t="s">
        <v>42</v>
      </c>
      <c r="B39" s="13"/>
      <c r="C39" s="14" t="n">
        <f aca="false">(((C9*C24)*(1-C13))-C19)-(((C9*(C24*(1-C36)))*(1-C13))-C19)</f>
        <v>125.45</v>
      </c>
      <c r="D39" s="14"/>
      <c r="E39" s="15"/>
      <c r="F39" s="15"/>
      <c r="G39" s="15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</row>
    <row r="41" customFormat="false" ht="21.75" hidden="false" customHeight="true" outlineLevel="0" collapsed="false">
      <c r="A41" s="6" t="s">
        <v>43</v>
      </c>
      <c r="B41" s="6"/>
      <c r="C41" s="6"/>
      <c r="D41" s="6"/>
      <c r="E41" s="6"/>
      <c r="F41" s="6"/>
      <c r="G41" s="6"/>
    </row>
    <row r="42" customFormat="false" ht="18" hidden="false" customHeight="true" outlineLevel="0" collapsed="false">
      <c r="A42" s="24" t="s">
        <v>44</v>
      </c>
      <c r="B42" s="24"/>
      <c r="C42" s="24"/>
      <c r="D42" s="24"/>
      <c r="E42" s="24"/>
      <c r="F42" s="24"/>
      <c r="G42" s="24"/>
    </row>
    <row r="43" customFormat="false" ht="18" hidden="false" customHeight="true" outlineLevel="0" collapsed="false">
      <c r="A43" s="24" t="s">
        <v>45</v>
      </c>
      <c r="B43" s="24"/>
      <c r="C43" s="24"/>
      <c r="D43" s="24"/>
      <c r="E43" s="24"/>
      <c r="F43" s="24"/>
      <c r="G43" s="24"/>
    </row>
    <row r="44" customFormat="false" ht="18" hidden="false" customHeight="true" outlineLevel="0" collapsed="false">
      <c r="A44" s="24" t="s">
        <v>46</v>
      </c>
      <c r="B44" s="24"/>
      <c r="C44" s="24"/>
      <c r="D44" s="24"/>
      <c r="E44" s="24"/>
      <c r="F44" s="24"/>
      <c r="G44" s="24"/>
    </row>
    <row r="45" customFormat="false" ht="18" hidden="false" customHeight="true" outlineLevel="0" collapsed="false">
      <c r="A45" s="24" t="s">
        <v>47</v>
      </c>
      <c r="B45" s="24"/>
      <c r="C45" s="24"/>
      <c r="D45" s="24"/>
      <c r="E45" s="24"/>
      <c r="F45" s="24"/>
      <c r="G45" s="24"/>
    </row>
    <row r="46" customFormat="false" ht="18" hidden="false" customHeight="true" outlineLevel="0" collapsed="false">
      <c r="A46" s="24" t="s">
        <v>48</v>
      </c>
      <c r="B46" s="24"/>
      <c r="C46" s="24"/>
      <c r="D46" s="24"/>
      <c r="E46" s="24"/>
      <c r="F46" s="24"/>
      <c r="G46" s="24"/>
    </row>
    <row r="47" customFormat="false" ht="18" hidden="false" customHeight="true" outlineLevel="0" collapsed="false">
      <c r="A47" s="24" t="s">
        <v>49</v>
      </c>
      <c r="B47" s="24"/>
      <c r="C47" s="24"/>
      <c r="D47" s="24"/>
      <c r="E47" s="24"/>
      <c r="F47" s="24"/>
      <c r="G47" s="24"/>
    </row>
  </sheetData>
  <mergeCells count="87">
    <mergeCell ref="A3:G3"/>
    <mergeCell ref="A4:G4"/>
    <mergeCell ref="A5:G5"/>
    <mergeCell ref="A7:G7"/>
    <mergeCell ref="A8:B8"/>
    <mergeCell ref="C8:D8"/>
    <mergeCell ref="E8:G8"/>
    <mergeCell ref="A9:B9"/>
    <mergeCell ref="C9:D9"/>
    <mergeCell ref="E9:G9"/>
    <mergeCell ref="A10:B10"/>
    <mergeCell ref="C10:D10"/>
    <mergeCell ref="E10:G10"/>
    <mergeCell ref="A11:B11"/>
    <mergeCell ref="C11:D11"/>
    <mergeCell ref="E11:G11"/>
    <mergeCell ref="A12:B12"/>
    <mergeCell ref="C12:D12"/>
    <mergeCell ref="E12:G12"/>
    <mergeCell ref="A13:B13"/>
    <mergeCell ref="C13:D13"/>
    <mergeCell ref="E13:G13"/>
    <mergeCell ref="A15:G15"/>
    <mergeCell ref="A16:B16"/>
    <mergeCell ref="C16:D16"/>
    <mergeCell ref="E16:G16"/>
    <mergeCell ref="A17:B17"/>
    <mergeCell ref="C17:D17"/>
    <mergeCell ref="E17:G17"/>
    <mergeCell ref="A18:B18"/>
    <mergeCell ref="C18:D18"/>
    <mergeCell ref="E18:G18"/>
    <mergeCell ref="A19:B19"/>
    <mergeCell ref="C19:D19"/>
    <mergeCell ref="E19:G19"/>
    <mergeCell ref="A21:G21"/>
    <mergeCell ref="A22:B22"/>
    <mergeCell ref="C22:D22"/>
    <mergeCell ref="E22:G22"/>
    <mergeCell ref="A23:B23"/>
    <mergeCell ref="C23:D23"/>
    <mergeCell ref="E23:G23"/>
    <mergeCell ref="A24:B24"/>
    <mergeCell ref="C24:D24"/>
    <mergeCell ref="E24:G24"/>
    <mergeCell ref="A26:G26"/>
    <mergeCell ref="A27:B27"/>
    <mergeCell ref="C27:D27"/>
    <mergeCell ref="E27:G27"/>
    <mergeCell ref="A28:B28"/>
    <mergeCell ref="C28:D28"/>
    <mergeCell ref="E28:G28"/>
    <mergeCell ref="A29:B29"/>
    <mergeCell ref="C29:D29"/>
    <mergeCell ref="E29:G29"/>
    <mergeCell ref="A30:B30"/>
    <mergeCell ref="C30:D30"/>
    <mergeCell ref="E30:G30"/>
    <mergeCell ref="A31:B31"/>
    <mergeCell ref="C31:D31"/>
    <mergeCell ref="E31:G31"/>
    <mergeCell ref="A32:B32"/>
    <mergeCell ref="C32:D32"/>
    <mergeCell ref="E32:G32"/>
    <mergeCell ref="A33:B33"/>
    <mergeCell ref="C33:D33"/>
    <mergeCell ref="E33:G33"/>
    <mergeCell ref="A35:G35"/>
    <mergeCell ref="A36:B36"/>
    <mergeCell ref="C36:D36"/>
    <mergeCell ref="E36:G36"/>
    <mergeCell ref="A37:B37"/>
    <mergeCell ref="C37:D37"/>
    <mergeCell ref="E37:G37"/>
    <mergeCell ref="A38:B38"/>
    <mergeCell ref="C38:D38"/>
    <mergeCell ref="E38:G38"/>
    <mergeCell ref="A39:B39"/>
    <mergeCell ref="C39:D39"/>
    <mergeCell ref="E39:G39"/>
    <mergeCell ref="A41:G41"/>
    <mergeCell ref="A42:G42"/>
    <mergeCell ref="A43:G43"/>
    <mergeCell ref="A44:G44"/>
    <mergeCell ref="A45:G45"/>
    <mergeCell ref="A46:G46"/>
    <mergeCell ref="A47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2"/>
  </cols>
  <sheetData>
    <row r="1" customFormat="false" ht="27.75" hidden="false" customHeight="true" outlineLevel="0" collapsed="false">
      <c r="A1" s="25" t="s">
        <v>50</v>
      </c>
      <c r="B1" s="25"/>
      <c r="C1" s="25"/>
      <c r="D1" s="25"/>
    </row>
    <row r="3" customFormat="false" ht="21.75" hidden="false" customHeight="true" outlineLevel="0" collapsed="false">
      <c r="A3" s="26" t="s">
        <v>51</v>
      </c>
      <c r="B3" s="26" t="s">
        <v>52</v>
      </c>
      <c r="C3" s="26" t="s">
        <v>53</v>
      </c>
      <c r="D3" s="26" t="s">
        <v>6</v>
      </c>
    </row>
    <row r="4" customFormat="false" ht="15" hidden="false" customHeight="false" outlineLevel="0" collapsed="false">
      <c r="A4" s="27" t="s">
        <v>54</v>
      </c>
      <c r="B4" s="28" t="s">
        <v>55</v>
      </c>
      <c r="C4" s="28" t="s">
        <v>56</v>
      </c>
      <c r="D4" s="29" t="s">
        <v>57</v>
      </c>
    </row>
    <row r="5" customFormat="false" ht="15" hidden="false" customHeight="false" outlineLevel="0" collapsed="false">
      <c r="A5" s="30" t="s">
        <v>58</v>
      </c>
      <c r="B5" s="31" t="s">
        <v>59</v>
      </c>
      <c r="C5" s="31" t="s">
        <v>60</v>
      </c>
      <c r="D5" s="32" t="s">
        <v>61</v>
      </c>
    </row>
    <row r="6" customFormat="false" ht="15" hidden="false" customHeight="false" outlineLevel="0" collapsed="false">
      <c r="A6" s="27" t="s">
        <v>62</v>
      </c>
      <c r="B6" s="28" t="s">
        <v>63</v>
      </c>
      <c r="C6" s="28" t="s">
        <v>64</v>
      </c>
      <c r="D6" s="29" t="s">
        <v>65</v>
      </c>
    </row>
    <row r="7" customFormat="false" ht="15" hidden="false" customHeight="false" outlineLevel="0" collapsed="false">
      <c r="A7" s="30" t="s">
        <v>66</v>
      </c>
      <c r="B7" s="31" t="s">
        <v>55</v>
      </c>
      <c r="C7" s="31" t="s">
        <v>56</v>
      </c>
      <c r="D7" s="32" t="s">
        <v>67</v>
      </c>
    </row>
    <row r="8" customFormat="false" ht="15" hidden="false" customHeight="false" outlineLevel="0" collapsed="false">
      <c r="A8" s="27" t="s">
        <v>68</v>
      </c>
      <c r="B8" s="28" t="s">
        <v>69</v>
      </c>
      <c r="C8" s="28" t="s">
        <v>70</v>
      </c>
      <c r="D8" s="29" t="s">
        <v>71</v>
      </c>
    </row>
    <row r="9" customFormat="false" ht="15" hidden="false" customHeight="false" outlineLevel="0" collapsed="false">
      <c r="A9" s="30" t="s">
        <v>72</v>
      </c>
      <c r="B9" s="31" t="s">
        <v>73</v>
      </c>
      <c r="C9" s="31" t="s">
        <v>74</v>
      </c>
      <c r="D9" s="32" t="s">
        <v>75</v>
      </c>
    </row>
    <row r="10" customFormat="false" ht="15" hidden="false" customHeight="false" outlineLevel="0" collapsed="false">
      <c r="A10" s="27" t="s">
        <v>76</v>
      </c>
      <c r="B10" s="28" t="s">
        <v>73</v>
      </c>
      <c r="C10" s="28" t="s">
        <v>74</v>
      </c>
      <c r="D10" s="29" t="s">
        <v>77</v>
      </c>
    </row>
    <row r="11" customFormat="false" ht="15" hidden="false" customHeight="false" outlineLevel="0" collapsed="false">
      <c r="A11" s="30" t="s">
        <v>78</v>
      </c>
      <c r="B11" s="31" t="s">
        <v>63</v>
      </c>
      <c r="C11" s="31" t="s">
        <v>64</v>
      </c>
      <c r="D11" s="32" t="s">
        <v>79</v>
      </c>
    </row>
    <row r="12" customFormat="false" ht="15" hidden="false" customHeight="false" outlineLevel="0" collapsed="false">
      <c r="A12" s="27" t="s">
        <v>80</v>
      </c>
      <c r="B12" s="28" t="s">
        <v>55</v>
      </c>
      <c r="C12" s="28" t="s">
        <v>56</v>
      </c>
      <c r="D12" s="29" t="s">
        <v>81</v>
      </c>
    </row>
    <row r="13" customFormat="false" ht="15" hidden="false" customHeight="false" outlineLevel="0" collapsed="false">
      <c r="A13" s="30" t="s">
        <v>82</v>
      </c>
      <c r="B13" s="31" t="s">
        <v>83</v>
      </c>
      <c r="C13" s="31" t="s">
        <v>84</v>
      </c>
      <c r="D13" s="32" t="s">
        <v>85</v>
      </c>
    </row>
    <row r="14" customFormat="false" ht="15" hidden="false" customHeight="false" outlineLevel="0" collapsed="false">
      <c r="A14" s="27" t="s">
        <v>86</v>
      </c>
      <c r="B14" s="28" t="s">
        <v>69</v>
      </c>
      <c r="C14" s="28" t="s">
        <v>70</v>
      </c>
      <c r="D14" s="29" t="s">
        <v>87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2026-05-02T16:42:57Z</dcterms:created>
  <dc:creator>openpyxl</dc:creator>
  <dc:description/>
  <dc:language>en-US</dc:language>
  <cp:lastModifiedBy/>
  <dcterms:modified xsi:type="dcterms:W3CDTF">2026-05-02T16:42:57Z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