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tradas" sheetId="1" state="visible" r:id="rId3"/>
    <sheet name="Saida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<sst xmlns="http://schemas.openxmlformats.org/spreadsheetml/2006/main" count="63" uniqueCount="54">
  <si>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CONTROLE DE ESTOQUE — ENTRADAS</t>
  </si>
  <si>
    <t xml:space="preserve">Registre aqui todas as compras feitas no atacado</t>
  </si>
  <si>
    <t xml:space="preserve">Data</t>
  </si>
  <si>
    <t xml:space="preserve">Fornecedor</t>
  </si>
  <si>
    <t xml:space="preserve">Produto</t>
  </si>
  <si>
    <t xml:space="preserve">Categoria</t>
  </si>
  <si>
    <t xml:space="preserve">Qtd</t>
  </si>
  <si>
    <t xml:space="preserve">Custo Unit. (R$)</t>
  </si>
  <si>
    <t xml:space="preserve">Frete Rateado (R$)</t>
  </si>
  <si>
    <t xml:space="preserve">Custo Total (R$)</t>
  </si>
  <si>
    <t xml:space="preserve">15/03/2025</t>
  </si>
  <si>
    <t xml:space="preserve">K2B Modas</t>
  </si>
  <si>
    <t xml:space="preserve">Calça jeans skinny</t>
  </si>
  <si>
    <t xml:space="preserve">Jeans Feminino</t>
  </si>
  <si>
    <t xml:space="preserve">Sawary</t>
  </si>
  <si>
    <t xml:space="preserve">Blusa estampada</t>
  </si>
  <si>
    <t xml:space="preserve">Polo do Brás</t>
  </si>
  <si>
    <t xml:space="preserve">22/03/2025</t>
  </si>
  <si>
    <t xml:space="preserve">Pit Bull</t>
  </si>
  <si>
    <t xml:space="preserve">Calça flare</t>
  </si>
  <si>
    <t xml:space="preserve">TOTAL INVESTIDO</t>
  </si>
  <si>
    <t xml:space="preserve">CONTROLE DE ESTOQUE — SAIDAS (VENDAS)</t>
  </si>
  <si>
    <t xml:space="preserve">Registre aqui todas as vendas realizadas</t>
  </si>
  <si>
    <t xml:space="preserve">Cliente</t>
  </si>
  <si>
    <t xml:space="preserve">Valor Unit. (R$)</t>
  </si>
  <si>
    <t xml:space="preserve">Pagamento</t>
  </si>
  <si>
    <t xml:space="preserve">Total (R$)</t>
  </si>
  <si>
    <t xml:space="preserve">20/03/2025</t>
  </si>
  <si>
    <t xml:space="preserve">Maria Silva</t>
  </si>
  <si>
    <t xml:space="preserve">Pix</t>
  </si>
  <si>
    <t xml:space="preserve">21/03/2025</t>
  </si>
  <si>
    <t xml:space="preserve">Ana Souza</t>
  </si>
  <si>
    <t xml:space="preserve">Cartão</t>
  </si>
  <si>
    <t xml:space="preserve">23/03/2025</t>
  </si>
  <si>
    <t xml:space="preserve">Joana B.</t>
  </si>
  <si>
    <t xml:space="preserve">FATURAMENTO TOTAL</t>
  </si>
  <si>
    <t xml:space="preserve">RESUMO FINANCEIRO</t>
  </si>
  <si>
    <t xml:space="preserve">Dashboard automatico — atualiza com base nas abas Entradas e Saidas</t>
  </si>
  <si>
    <t xml:space="preserve">💰 Total Investido</t>
  </si>
  <si>
    <t xml:space="preserve">Quanto voce gastou</t>
  </si>
  <si>
    <t xml:space="preserve">📈 Total Faturado</t>
  </si>
  <si>
    <t xml:space="preserve">Quanto voce recebeu</t>
  </si>
  <si>
    <t xml:space="preserve">💎 Lucro Bruto</t>
  </si>
  <si>
    <t xml:space="preserve">Diferenca entre os dois</t>
  </si>
  <si>
    <t xml:space="preserve">📊 Margem de Lucro</t>
  </si>
  <si>
    <t xml:space="preserve">Percentual de lucro</t>
  </si>
  <si>
    <t xml:space="preserve">🚀 ROI</t>
  </si>
  <si>
    <t xml:space="preserve">Retorno sobre investimento</t>
  </si>
  <si>
    <t xml:space="preserve">💡 COMO USAR</t>
  </si>
  <si>
    <t xml:space="preserve">• Aba ENTRADAS: registre cada compra que faz no atacado (uma linha por produto).</t>
  </si>
  <si>
    <t xml:space="preserve">• Aba SAIDAS: registre cada venda que realiza (uma linha por venda).</t>
  </si>
  <si>
    <t xml:space="preserve">• Aba RESUMO: este painel atualiza automaticamente com seus numeros.</t>
  </si>
  <si>
    <t xml:space="preserve">• Margem de Lucro saudavel: 50% ou mais. ROI saudavel: 80% ou mais.</t>
  </si>
  <si>
    <t xml:space="preserve">• Se Lucro Bruto ficar negativo, voce esta vendendo mais barato que o custo!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</si>
</sst>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&quot;#,##0.0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AFAFA"/>
      <name val="Arial"/>
      <family val="0"/>
      <charset val="1"/>
    </font>
    <font>
      <i val="true"/>
      <sz val="10"/>
      <color rgb="FFA1A1AA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FAFAFA"/>
      <name val="Arial"/>
      <family val="0"/>
      <charset val="1"/>
    </font>
    <font>
      <b val="true"/>
      <sz val="12"/>
      <color rgb="FFD4AF37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b val="true"/>
      <sz val="14"/>
      <color rgb="FFD4AF37"/>
      <name val="Arial"/>
      <family val="0"/>
      <charset val="1"/>
    </font>
    <font>
      <i val="true"/>
      <sz val="9"/>
      <color rgb="FFA1A1AA"/>
      <name val="Arial"/>
      <family val="0"/>
      <charset val="1"/>
    </font>
    <font>
      <sz val="10"/>
      <color rgb="FFD4D4D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D4AF37"/>
        <bgColor rgb="FFFFCC00"/>
      </patternFill>
    </fill>
    <fill>
      <patternFill patternType="solid">
        <fgColor rgb="FFFFFAE6"/>
        <bgColor rgb="FFFAFAFA"/>
      </patternFill>
    </fill>
    <fill>
      <patternFill patternType="solid">
        <fgColor rgb="FF1C1C1C"/>
        <bgColor rgb="FF141414"/>
      </patternFill>
    </fill>
    <fill>
      <patternFill patternType="solid">
        <fgColor rgb="FF141414"/>
        <bgColor rgb="FF1C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AE6"/>
      <rgbColor rgb="FFCCFFFF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A1A1AA"/>
      <rgbColor rgb="FF003366"/>
      <rgbColor rgb="FF339966"/>
      <rgbColor rgb="FF141414"/>
      <rgbColor rgb="FF1C1C1C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4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2"/>
      <c r="J5" s="2"/>
      <c r="K5" s="2"/>
    </row>
    <row r="6" customFormat="false" ht="19.5" hidden="false" customHeight="true" outlineLevel="0" collapsed="false">
      <c r="A6" s="6" t="s">
        <v>10</v>
      </c>
      <c r="B6" s="7" t="s">
        <v>11</v>
      </c>
      <c r="C6" s="7" t="s">
        <v>12</v>
      </c>
      <c r="D6" s="6" t="s">
        <v>13</v>
      </c>
      <c r="E6" s="6" t="n">
        <v>10</v>
      </c>
      <c r="F6" s="8" t="n">
        <v>45</v>
      </c>
      <c r="G6" s="8" t="n">
        <v>4</v>
      </c>
      <c r="H6" s="9" t="n">
        <f aca="false">E6*(F6+G6)</f>
        <v>490</v>
      </c>
      <c r="I6" s="2"/>
      <c r="J6" s="2"/>
      <c r="K6" s="2"/>
    </row>
    <row r="7" customFormat="false" ht="19.5" hidden="false" customHeight="true" outlineLevel="0" collapsed="false">
      <c r="A7" s="6" t="s">
        <v>10</v>
      </c>
      <c r="B7" s="7" t="s">
        <v>14</v>
      </c>
      <c r="C7" s="7" t="s">
        <v>15</v>
      </c>
      <c r="D7" s="6" t="s">
        <v>16</v>
      </c>
      <c r="E7" s="6" t="n">
        <v>20</v>
      </c>
      <c r="F7" s="8" t="n">
        <v>22</v>
      </c>
      <c r="G7" s="8" t="n">
        <v>4</v>
      </c>
      <c r="H7" s="9" t="n">
        <f aca="false">E7*(F7+G7)</f>
        <v>520</v>
      </c>
      <c r="I7" s="2"/>
      <c r="J7" s="2"/>
      <c r="K7" s="2"/>
    </row>
    <row r="8" customFormat="false" ht="19.5" hidden="false" customHeight="true" outlineLevel="0" collapsed="false">
      <c r="A8" s="6" t="s">
        <v>17</v>
      </c>
      <c r="B8" s="7" t="s">
        <v>18</v>
      </c>
      <c r="C8" s="7" t="s">
        <v>19</v>
      </c>
      <c r="D8" s="6" t="s">
        <v>13</v>
      </c>
      <c r="E8" s="6" t="n">
        <v>5</v>
      </c>
      <c r="F8" s="8" t="n">
        <v>80</v>
      </c>
      <c r="G8" s="8" t="n">
        <v>6</v>
      </c>
      <c r="H8" s="9" t="n">
        <f aca="false">E8*(F8+G8)</f>
        <v>430</v>
      </c>
      <c r="I8" s="2"/>
      <c r="J8" s="2"/>
      <c r="K8" s="2"/>
    </row>
    <row r="9" customFormat="false" ht="19.5" hidden="false" customHeight="true" outlineLevel="0" collapsed="false">
      <c r="A9" s="6"/>
      <c r="B9" s="7"/>
      <c r="C9" s="7"/>
      <c r="D9" s="6"/>
      <c r="E9" s="6"/>
      <c r="F9" s="8"/>
      <c r="G9" s="8"/>
      <c r="H9" s="9" t="n">
        <f aca="false">IFERROR(E9*(F9+G9),"")</f>
        <v>0</v>
      </c>
      <c r="I9" s="2"/>
      <c r="J9" s="2"/>
      <c r="K9" s="2"/>
    </row>
    <row r="10" customFormat="false" ht="19.5" hidden="false" customHeight="true" outlineLevel="0" collapsed="false">
      <c r="A10" s="6"/>
      <c r="B10" s="7"/>
      <c r="C10" s="7"/>
      <c r="D10" s="6"/>
      <c r="E10" s="6"/>
      <c r="F10" s="8"/>
      <c r="G10" s="8"/>
      <c r="H10" s="9" t="n">
        <f aca="false">IFERROR(E10*(F10+G10),"")</f>
        <v>0</v>
      </c>
      <c r="I10" s="2"/>
      <c r="J10" s="2"/>
      <c r="K10" s="2"/>
    </row>
    <row r="11" customFormat="false" ht="19.5" hidden="false" customHeight="true" outlineLevel="0" collapsed="false">
      <c r="A11" s="6"/>
      <c r="B11" s="7"/>
      <c r="C11" s="7"/>
      <c r="D11" s="6"/>
      <c r="E11" s="6"/>
      <c r="F11" s="8"/>
      <c r="G11" s="8"/>
      <c r="H11" s="9" t="n">
        <f aca="false">IFERROR(E11*(F11+G11),"")</f>
        <v>0</v>
      </c>
      <c r="I11" s="2"/>
      <c r="J11" s="2"/>
      <c r="K11" s="2"/>
    </row>
    <row r="12" customFormat="false" ht="19.5" hidden="false" customHeight="true" outlineLevel="0" collapsed="false">
      <c r="A12" s="6"/>
      <c r="B12" s="7"/>
      <c r="C12" s="7"/>
      <c r="D12" s="6"/>
      <c r="E12" s="6"/>
      <c r="F12" s="8"/>
      <c r="G12" s="8"/>
      <c r="H12" s="9" t="n">
        <f aca="false">IFERROR(E12*(F12+G12),"")</f>
        <v>0</v>
      </c>
      <c r="I12" s="2"/>
      <c r="J12" s="2"/>
      <c r="K12" s="2"/>
    </row>
    <row r="13" customFormat="false" ht="19.5" hidden="false" customHeight="true" outlineLevel="0" collapsed="false">
      <c r="A13" s="6"/>
      <c r="B13" s="7"/>
      <c r="C13" s="7"/>
      <c r="D13" s="6"/>
      <c r="E13" s="6"/>
      <c r="F13" s="8"/>
      <c r="G13" s="8"/>
      <c r="H13" s="9" t="n">
        <f aca="false">IFERROR(E13*(F13+G13),"")</f>
        <v>0</v>
      </c>
      <c r="I13" s="2"/>
      <c r="J13" s="2"/>
      <c r="K13" s="2"/>
    </row>
    <row r="14" customFormat="false" ht="19.5" hidden="false" customHeight="true" outlineLevel="0" collapsed="false">
      <c r="A14" s="6"/>
      <c r="B14" s="7"/>
      <c r="C14" s="7"/>
      <c r="D14" s="6"/>
      <c r="E14" s="6"/>
      <c r="F14" s="8"/>
      <c r="G14" s="8"/>
      <c r="H14" s="9" t="n">
        <f aca="false">IFERROR(E14*(F14+G14),"")</f>
        <v>0</v>
      </c>
      <c r="I14" s="2"/>
      <c r="J14" s="2"/>
      <c r="K14" s="2"/>
    </row>
    <row r="15" customFormat="false" ht="19.5" hidden="false" customHeight="true" outlineLevel="0" collapsed="false">
      <c r="A15" s="6"/>
      <c r="B15" s="7"/>
      <c r="C15" s="7"/>
      <c r="D15" s="6"/>
      <c r="E15" s="6"/>
      <c r="F15" s="8"/>
      <c r="G15" s="8"/>
      <c r="H15" s="9" t="n">
        <f aca="false">IFERROR(E15*(F15+G15),"")</f>
        <v>0</v>
      </c>
      <c r="I15" s="2"/>
      <c r="J15" s="2"/>
      <c r="K15" s="2"/>
    </row>
    <row r="16" customFormat="false" ht="19.5" hidden="false" customHeight="true" outlineLevel="0" collapsed="false">
      <c r="A16" s="6"/>
      <c r="B16" s="7"/>
      <c r="C16" s="7"/>
      <c r="D16" s="6"/>
      <c r="E16" s="6"/>
      <c r="F16" s="8"/>
      <c r="G16" s="8"/>
      <c r="H16" s="9" t="n">
        <f aca="false">IFERROR(E16*(F16+G16),"")</f>
        <v>0</v>
      </c>
      <c r="I16" s="2"/>
      <c r="J16" s="2"/>
      <c r="K16" s="2"/>
    </row>
    <row r="17" customFormat="false" ht="19.5" hidden="false" customHeight="true" outlineLevel="0" collapsed="false">
      <c r="A17" s="6"/>
      <c r="B17" s="7"/>
      <c r="C17" s="7"/>
      <c r="D17" s="6"/>
      <c r="E17" s="6"/>
      <c r="F17" s="8"/>
      <c r="G17" s="8"/>
      <c r="H17" s="9" t="n">
        <f aca="false">IFERROR(E17*(F17+G17),"")</f>
        <v>0</v>
      </c>
      <c r="I17" s="2"/>
      <c r="J17" s="2"/>
      <c r="K17" s="2"/>
    </row>
    <row r="18" customFormat="false" ht="19.5" hidden="false" customHeight="true" outlineLevel="0" collapsed="false">
      <c r="A18" s="6"/>
      <c r="B18" s="7"/>
      <c r="C18" s="7"/>
      <c r="D18" s="6"/>
      <c r="E18" s="6"/>
      <c r="F18" s="8"/>
      <c r="G18" s="8"/>
      <c r="H18" s="9" t="n">
        <f aca="false">IFERROR(E18*(F18+G18),"")</f>
        <v>0</v>
      </c>
      <c r="I18" s="2"/>
      <c r="J18" s="2"/>
      <c r="K18" s="2"/>
    </row>
    <row r="19" customFormat="false" ht="19.5" hidden="false" customHeight="true" outlineLevel="0" collapsed="false">
      <c r="A19" s="6"/>
      <c r="B19" s="7"/>
      <c r="C19" s="7"/>
      <c r="D19" s="6"/>
      <c r="E19" s="6"/>
      <c r="F19" s="8"/>
      <c r="G19" s="8"/>
      <c r="H19" s="9" t="n">
        <f aca="false">IFERROR(E19*(F19+G19),"")</f>
        <v>0</v>
      </c>
      <c r="I19" s="2"/>
      <c r="J19" s="2"/>
      <c r="K19" s="2"/>
    </row>
    <row r="20" customFormat="false" ht="19.5" hidden="false" customHeight="true" outlineLevel="0" collapsed="false">
      <c r="A20" s="6"/>
      <c r="B20" s="7"/>
      <c r="C20" s="7"/>
      <c r="D20" s="6"/>
      <c r="E20" s="6"/>
      <c r="F20" s="8"/>
      <c r="G20" s="8"/>
      <c r="H20" s="9" t="n">
        <f aca="false">IFERROR(E20*(F20+G20),"")</f>
        <v>0</v>
      </c>
      <c r="I20" s="2"/>
      <c r="J20" s="2"/>
      <c r="K20" s="2"/>
    </row>
    <row r="21" customFormat="false" ht="19.5" hidden="false" customHeight="true" outlineLevel="0" collapsed="false">
      <c r="A21" s="6"/>
      <c r="B21" s="7"/>
      <c r="C21" s="7"/>
      <c r="D21" s="6"/>
      <c r="E21" s="6"/>
      <c r="F21" s="8"/>
      <c r="G21" s="8"/>
      <c r="H21" s="9" t="n">
        <f aca="false">IFERROR(E21*(F21+G21),"")</f>
        <v>0</v>
      </c>
      <c r="I21" s="2"/>
      <c r="J21" s="2"/>
      <c r="K21" s="2"/>
    </row>
    <row r="22" customFormat="false" ht="19.5" hidden="false" customHeight="true" outlineLevel="0" collapsed="false">
      <c r="A22" s="6"/>
      <c r="B22" s="7"/>
      <c r="C22" s="7"/>
      <c r="D22" s="6"/>
      <c r="E22" s="6"/>
      <c r="F22" s="8"/>
      <c r="G22" s="8"/>
      <c r="H22" s="9" t="n">
        <f aca="false">IFERROR(E22*(F22+G22),"")</f>
        <v>0</v>
      </c>
      <c r="I22" s="2"/>
      <c r="J22" s="2"/>
      <c r="K22" s="2"/>
    </row>
    <row r="23" customFormat="false" ht="19.5" hidden="false" customHeight="true" outlineLevel="0" collapsed="false">
      <c r="A23" s="6"/>
      <c r="B23" s="7"/>
      <c r="C23" s="7"/>
      <c r="D23" s="6"/>
      <c r="E23" s="6"/>
      <c r="F23" s="8"/>
      <c r="G23" s="8"/>
      <c r="H23" s="9" t="n">
        <f aca="false">IFERROR(E23*(F23+G23),"")</f>
        <v>0</v>
      </c>
      <c r="I23" s="2"/>
      <c r="J23" s="2"/>
      <c r="K23" s="2"/>
    </row>
    <row r="24" customFormat="false" ht="19.5" hidden="false" customHeight="true" outlineLevel="0" collapsed="false">
      <c r="A24" s="6"/>
      <c r="B24" s="7"/>
      <c r="C24" s="7"/>
      <c r="D24" s="6"/>
      <c r="E24" s="6"/>
      <c r="F24" s="8"/>
      <c r="G24" s="8"/>
      <c r="H24" s="9" t="n">
        <f aca="false">IFERROR(E24*(F24+G24),"")</f>
        <v>0</v>
      </c>
      <c r="I24" s="2"/>
      <c r="J24" s="2"/>
      <c r="K24" s="2"/>
    </row>
    <row r="25" customFormat="false" ht="19.5" hidden="false" customHeight="true" outlineLevel="0" collapsed="false">
      <c r="A25" s="6"/>
      <c r="B25" s="7"/>
      <c r="C25" s="7"/>
      <c r="D25" s="6"/>
      <c r="E25" s="6"/>
      <c r="F25" s="8"/>
      <c r="G25" s="8"/>
      <c r="H25" s="9" t="n">
        <f aca="false">IFERROR(E25*(F25+G25),"")</f>
        <v>0</v>
      </c>
      <c r="I25" s="2"/>
      <c r="J25" s="2"/>
      <c r="K25" s="2"/>
    </row>
    <row r="26" customFormat="false" ht="19.5" hidden="false" customHeight="true" outlineLevel="0" collapsed="false">
      <c r="A26" s="6"/>
      <c r="B26" s="7"/>
      <c r="C26" s="7"/>
      <c r="D26" s="6"/>
      <c r="E26" s="6"/>
      <c r="F26" s="8"/>
      <c r="G26" s="8"/>
      <c r="H26" s="9" t="n">
        <f aca="false">IFERROR(E26*(F26+G26),"")</f>
        <v>0</v>
      </c>
      <c r="I26" s="2"/>
      <c r="J26" s="2"/>
      <c r="K26" s="2"/>
    </row>
    <row r="27" customFormat="false" ht="19.5" hidden="false" customHeight="true" outlineLevel="0" collapsed="false">
      <c r="A27" s="6"/>
      <c r="B27" s="7"/>
      <c r="C27" s="7"/>
      <c r="D27" s="6"/>
      <c r="E27" s="6"/>
      <c r="F27" s="8"/>
      <c r="G27" s="8"/>
      <c r="H27" s="9" t="n">
        <f aca="false">IFERROR(E27*(F27+G27),"")</f>
        <v>0</v>
      </c>
      <c r="I27" s="2"/>
      <c r="J27" s="2"/>
      <c r="K27" s="2"/>
    </row>
    <row r="28" customFormat="false" ht="19.5" hidden="false" customHeight="true" outlineLevel="0" collapsed="false">
      <c r="A28" s="6"/>
      <c r="B28" s="7"/>
      <c r="C28" s="7"/>
      <c r="D28" s="6"/>
      <c r="E28" s="6"/>
      <c r="F28" s="8"/>
      <c r="G28" s="8"/>
      <c r="H28" s="9" t="n">
        <f aca="false">IFERROR(E28*(F28+G28),"")</f>
        <v>0</v>
      </c>
      <c r="I28" s="2"/>
      <c r="J28" s="2"/>
      <c r="K28" s="2"/>
    </row>
    <row r="29" customFormat="false" ht="19.5" hidden="false" customHeight="true" outlineLevel="0" collapsed="false">
      <c r="A29" s="6"/>
      <c r="B29" s="7"/>
      <c r="C29" s="7"/>
      <c r="D29" s="6"/>
      <c r="E29" s="6"/>
      <c r="F29" s="8"/>
      <c r="G29" s="8"/>
      <c r="H29" s="9" t="n">
        <f aca="false">IFERROR(E29*(F29+G29),"")</f>
        <v>0</v>
      </c>
      <c r="I29" s="2"/>
      <c r="J29" s="2"/>
      <c r="K29" s="2"/>
    </row>
    <row r="30" customFormat="false" ht="19.5" hidden="false" customHeight="true" outlineLevel="0" collapsed="false">
      <c r="A30" s="6"/>
      <c r="B30" s="7"/>
      <c r="C30" s="7"/>
      <c r="D30" s="6"/>
      <c r="E30" s="6"/>
      <c r="F30" s="8"/>
      <c r="G30" s="8"/>
      <c r="H30" s="9" t="n">
        <f aca="false">IFERROR(E30*(F30+G30),"")</f>
        <v>0</v>
      </c>
      <c r="I30" s="2"/>
      <c r="J30" s="2"/>
      <c r="K30" s="2"/>
    </row>
    <row r="31" customFormat="false" ht="19.5" hidden="false" customHeight="true" outlineLevel="0" collapsed="false">
      <c r="A31" s="6"/>
      <c r="B31" s="7"/>
      <c r="C31" s="7"/>
      <c r="D31" s="6"/>
      <c r="E31" s="6"/>
      <c r="F31" s="8"/>
      <c r="G31" s="8"/>
      <c r="H31" s="9" t="n">
        <f aca="false">IFERROR(E31*(F31+G31),"")</f>
        <v>0</v>
      </c>
      <c r="I31" s="2"/>
      <c r="J31" s="2"/>
      <c r="K31" s="2"/>
    </row>
    <row r="32" customFormat="false" ht="19.5" hidden="false" customHeight="true" outlineLevel="0" collapsed="false">
      <c r="A32" s="6"/>
      <c r="B32" s="7"/>
      <c r="C32" s="7"/>
      <c r="D32" s="6"/>
      <c r="E32" s="6"/>
      <c r="F32" s="8"/>
      <c r="G32" s="8"/>
      <c r="H32" s="9" t="n">
        <f aca="false">IFERROR(E32*(F32+G32),"")</f>
        <v>0</v>
      </c>
      <c r="I32" s="2"/>
      <c r="J32" s="2"/>
      <c r="K32" s="2"/>
    </row>
    <row r="33" customFormat="false" ht="19.5" hidden="false" customHeight="true" outlineLevel="0" collapsed="false">
      <c r="A33" s="6"/>
      <c r="B33" s="7"/>
      <c r="C33" s="7"/>
      <c r="D33" s="6"/>
      <c r="E33" s="6"/>
      <c r="F33" s="8"/>
      <c r="G33" s="8"/>
      <c r="H33" s="9" t="n">
        <f aca="false">IFERROR(E33*(F33+G33),"")</f>
        <v>0</v>
      </c>
      <c r="I33" s="2"/>
      <c r="J33" s="2"/>
      <c r="K33" s="2"/>
    </row>
    <row r="34" customFormat="false" ht="19.5" hidden="false" customHeight="true" outlineLevel="0" collapsed="false">
      <c r="A34" s="6"/>
      <c r="B34" s="7"/>
      <c r="C34" s="7"/>
      <c r="D34" s="6"/>
      <c r="E34" s="6"/>
      <c r="F34" s="8"/>
      <c r="G34" s="8"/>
      <c r="H34" s="9" t="n">
        <f aca="false">IFERROR(E34*(F34+G34),"")</f>
        <v>0</v>
      </c>
      <c r="I34" s="2"/>
      <c r="J34" s="2"/>
      <c r="K34" s="2"/>
    </row>
    <row r="35" customFormat="false" ht="19.5" hidden="false" customHeight="true" outlineLevel="0" collapsed="false">
      <c r="A35" s="6"/>
      <c r="B35" s="7"/>
      <c r="C35" s="7"/>
      <c r="D35" s="6"/>
      <c r="E35" s="6"/>
      <c r="F35" s="8"/>
      <c r="G35" s="8"/>
      <c r="H35" s="9" t="n">
        <f aca="false">IFERROR(E35*(F35+G35),"")</f>
        <v>0</v>
      </c>
      <c r="I35" s="2"/>
      <c r="J35" s="2"/>
      <c r="K35" s="2"/>
    </row>
    <row r="36" customFormat="false" ht="19.5" hidden="false" customHeight="true" outlineLevel="0" collapsed="false">
      <c r="A36" s="6"/>
      <c r="B36" s="7"/>
      <c r="C36" s="7"/>
      <c r="D36" s="6"/>
      <c r="E36" s="6"/>
      <c r="F36" s="8"/>
      <c r="G36" s="8"/>
      <c r="H36" s="9" t="n">
        <f aca="false">IFERROR(E36*(F36+G36),"")</f>
        <v>0</v>
      </c>
      <c r="I36" s="2"/>
      <c r="J36" s="2"/>
      <c r="K36" s="2"/>
    </row>
    <row r="37" customFormat="false" ht="19.5" hidden="false" customHeight="true" outlineLevel="0" collapsed="false">
      <c r="A37" s="6"/>
      <c r="B37" s="7"/>
      <c r="C37" s="7"/>
      <c r="D37" s="6"/>
      <c r="E37" s="6"/>
      <c r="F37" s="8"/>
      <c r="G37" s="8"/>
      <c r="H37" s="9" t="n">
        <f aca="false">IFERROR(E37*(F37+G37),"")</f>
        <v>0</v>
      </c>
      <c r="I37" s="2"/>
      <c r="J37" s="2"/>
      <c r="K37" s="2"/>
    </row>
    <row r="38" customFormat="false" ht="19.5" hidden="false" customHeight="true" outlineLevel="0" collapsed="false">
      <c r="A38" s="6"/>
      <c r="B38" s="7"/>
      <c r="C38" s="7"/>
      <c r="D38" s="6"/>
      <c r="E38" s="6"/>
      <c r="F38" s="8"/>
      <c r="G38" s="8"/>
      <c r="H38" s="9" t="n">
        <f aca="false">IFERROR(E38*(F38+G38),"")</f>
        <v>0</v>
      </c>
      <c r="I38" s="2"/>
      <c r="J38" s="2"/>
      <c r="K38" s="2"/>
    </row>
    <row r="39" customFormat="false" ht="19.5" hidden="false" customHeight="true" outlineLevel="0" collapsed="false">
      <c r="A39" s="6"/>
      <c r="B39" s="7"/>
      <c r="C39" s="7"/>
      <c r="D39" s="6"/>
      <c r="E39" s="6"/>
      <c r="F39" s="8"/>
      <c r="G39" s="8"/>
      <c r="H39" s="9" t="n">
        <f aca="false">IFERROR(E39*(F39+G39),"")</f>
        <v>0</v>
      </c>
      <c r="I39" s="2"/>
      <c r="J39" s="2"/>
      <c r="K39" s="2"/>
    </row>
    <row r="40" customFormat="false" ht="19.5" hidden="false" customHeight="true" outlineLevel="0" collapsed="false">
      <c r="A40" s="6"/>
      <c r="B40" s="7"/>
      <c r="C40" s="7"/>
      <c r="D40" s="6"/>
      <c r="E40" s="6"/>
      <c r="F40" s="8"/>
      <c r="G40" s="8"/>
      <c r="H40" s="9" t="n">
        <f aca="false">IFERROR(E40*(F40+G40),"")</f>
        <v>0</v>
      </c>
      <c r="I40" s="2"/>
      <c r="J40" s="2"/>
      <c r="K40" s="2"/>
    </row>
    <row r="41" customFormat="false" ht="19.5" hidden="false" customHeight="true" outlineLevel="0" collapsed="false">
      <c r="A41" s="6"/>
      <c r="B41" s="7"/>
      <c r="C41" s="7"/>
      <c r="D41" s="6"/>
      <c r="E41" s="6"/>
      <c r="F41" s="8"/>
      <c r="G41" s="8"/>
      <c r="H41" s="9" t="n">
        <f aca="false">IFERROR(E41*(F41+G41),"")</f>
        <v>0</v>
      </c>
      <c r="I41" s="2"/>
      <c r="J41" s="2"/>
      <c r="K41" s="2"/>
    </row>
    <row r="42" customFormat="false" ht="19.5" hidden="false" customHeight="true" outlineLevel="0" collapsed="false">
      <c r="A42" s="6"/>
      <c r="B42" s="7"/>
      <c r="C42" s="7"/>
      <c r="D42" s="6"/>
      <c r="E42" s="6"/>
      <c r="F42" s="8"/>
      <c r="G42" s="8"/>
      <c r="H42" s="9" t="n">
        <f aca="false">IFERROR(E42*(F42+G42),"")</f>
        <v>0</v>
      </c>
      <c r="I42" s="2"/>
      <c r="J42" s="2"/>
      <c r="K42" s="2"/>
    </row>
    <row r="43" customFormat="false" ht="19.5" hidden="false" customHeight="true" outlineLevel="0" collapsed="false">
      <c r="A43" s="6"/>
      <c r="B43" s="7"/>
      <c r="C43" s="7"/>
      <c r="D43" s="6"/>
      <c r="E43" s="6"/>
      <c r="F43" s="8"/>
      <c r="G43" s="8"/>
      <c r="H43" s="9" t="n">
        <f aca="false">IFERROR(E43*(F43+G43),"")</f>
        <v>0</v>
      </c>
      <c r="I43" s="2"/>
      <c r="J43" s="2"/>
      <c r="K43" s="2"/>
    </row>
    <row r="44" customFormat="false" ht="19.5" hidden="false" customHeight="true" outlineLevel="0" collapsed="false">
      <c r="A44" s="6"/>
      <c r="B44" s="7"/>
      <c r="C44" s="7"/>
      <c r="D44" s="6"/>
      <c r="E44" s="6"/>
      <c r="F44" s="8"/>
      <c r="G44" s="8"/>
      <c r="H44" s="9" t="n">
        <f aca="false">IFERROR(E44*(F44+G44),"")</f>
        <v>0</v>
      </c>
      <c r="I44" s="2"/>
      <c r="J44" s="2"/>
      <c r="K44" s="2"/>
    </row>
    <row r="45" customFormat="false" ht="19.5" hidden="false" customHeight="true" outlineLevel="0" collapsed="false">
      <c r="A45" s="6"/>
      <c r="B45" s="7"/>
      <c r="C45" s="7"/>
      <c r="D45" s="6"/>
      <c r="E45" s="6"/>
      <c r="F45" s="8"/>
      <c r="G45" s="8"/>
      <c r="H45" s="9" t="n">
        <f aca="false">IFERROR(E45*(F45+G45),"")</f>
        <v>0</v>
      </c>
      <c r="I45" s="2"/>
      <c r="J45" s="2"/>
      <c r="K45" s="2"/>
    </row>
    <row r="46" customFormat="false" ht="19.5" hidden="false" customHeight="true" outlineLevel="0" collapsed="false">
      <c r="A46" s="6"/>
      <c r="B46" s="7"/>
      <c r="C46" s="7"/>
      <c r="D46" s="6"/>
      <c r="E46" s="6"/>
      <c r="F46" s="8"/>
      <c r="G46" s="8"/>
      <c r="H46" s="9" t="n">
        <f aca="false">IFERROR(E46*(F46+G46),"")</f>
        <v>0</v>
      </c>
      <c r="I46" s="2"/>
      <c r="J46" s="2"/>
      <c r="K46" s="2"/>
    </row>
    <row r="47" customFormat="false" ht="19.5" hidden="false" customHeight="true" outlineLevel="0" collapsed="false">
      <c r="A47" s="6"/>
      <c r="B47" s="7"/>
      <c r="C47" s="7"/>
      <c r="D47" s="6"/>
      <c r="E47" s="6"/>
      <c r="F47" s="8"/>
      <c r="G47" s="8"/>
      <c r="H47" s="9" t="n">
        <f aca="false">IFERROR(E47*(F47+G47),"")</f>
        <v>0</v>
      </c>
      <c r="I47" s="2"/>
      <c r="J47" s="2"/>
      <c r="K47" s="2"/>
    </row>
    <row r="48" customFormat="false" ht="19.5" hidden="false" customHeight="true" outlineLevel="0" collapsed="false">
      <c r="A48" s="6"/>
      <c r="B48" s="7"/>
      <c r="C48" s="7"/>
      <c r="D48" s="6"/>
      <c r="E48" s="6"/>
      <c r="F48" s="8"/>
      <c r="G48" s="8"/>
      <c r="H48" s="9" t="n">
        <f aca="false">IFERROR(E48*(F48+G48),"")</f>
        <v>0</v>
      </c>
      <c r="I48" s="2"/>
      <c r="J48" s="2"/>
      <c r="K48" s="2"/>
    </row>
    <row r="49" customFormat="false" ht="19.5" hidden="false" customHeight="true" outlineLevel="0" collapsed="false">
      <c r="A49" s="6"/>
      <c r="B49" s="7"/>
      <c r="C49" s="7"/>
      <c r="D49" s="6"/>
      <c r="E49" s="6"/>
      <c r="F49" s="8"/>
      <c r="G49" s="8"/>
      <c r="H49" s="9" t="n">
        <f aca="false">IFERROR(E49*(F49+G49),"")</f>
        <v>0</v>
      </c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7.75" hidden="false" customHeight="true" outlineLevel="0" collapsed="false">
      <c r="A51" s="10" t="s">
        <v>20</v>
      </c>
      <c r="B51" s="10"/>
      <c r="C51" s="10"/>
      <c r="D51" s="10"/>
      <c r="E51" s="10"/>
      <c r="F51" s="10"/>
      <c r="G51" s="10"/>
      <c r="H51" s="11" t="n">
        <f aca="false">SUM(H6:H50)</f>
        <v>1440</v>
      </c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4">
    <mergeCell ref="A1:H1"/>
    <mergeCell ref="A2:H2"/>
    <mergeCell ref="A3:H3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customFormat="false" ht="15" hidden="false" customHeight="false" outlineLevel="0" collapsed="false">
      <c r="A2" s="3" t="s">
        <v>22</v>
      </c>
      <c r="B2" s="3"/>
      <c r="C2" s="3"/>
      <c r="D2" s="3"/>
      <c r="E2" s="3"/>
      <c r="F2" s="3"/>
      <c r="G2" s="3"/>
      <c r="H2" s="2"/>
      <c r="I2" s="2"/>
      <c r="J2" s="2"/>
      <c r="K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4" hidden="false" customHeight="true" outlineLevel="0" collapsed="false">
      <c r="A5" s="5" t="s">
        <v>2</v>
      </c>
      <c r="B5" s="5" t="s">
        <v>23</v>
      </c>
      <c r="C5" s="5" t="s">
        <v>4</v>
      </c>
      <c r="D5" s="5" t="s">
        <v>6</v>
      </c>
      <c r="E5" s="5" t="s">
        <v>24</v>
      </c>
      <c r="F5" s="5" t="s">
        <v>25</v>
      </c>
      <c r="G5" s="5" t="s">
        <v>26</v>
      </c>
      <c r="H5" s="2"/>
      <c r="I5" s="2"/>
      <c r="J5" s="2"/>
      <c r="K5" s="2"/>
    </row>
    <row r="6" customFormat="false" ht="19.5" hidden="false" customHeight="true" outlineLevel="0" collapsed="false">
      <c r="A6" s="6" t="s">
        <v>27</v>
      </c>
      <c r="B6" s="7" t="s">
        <v>28</v>
      </c>
      <c r="C6" s="7" t="s">
        <v>12</v>
      </c>
      <c r="D6" s="6" t="n">
        <v>1</v>
      </c>
      <c r="E6" s="8" t="n">
        <v>129.9</v>
      </c>
      <c r="F6" s="6" t="s">
        <v>29</v>
      </c>
      <c r="G6" s="9" t="n">
        <f aca="false">D6*E6</f>
        <v>129.9</v>
      </c>
      <c r="H6" s="2"/>
      <c r="I6" s="2"/>
      <c r="J6" s="2"/>
      <c r="K6" s="2"/>
    </row>
    <row r="7" customFormat="false" ht="19.5" hidden="false" customHeight="true" outlineLevel="0" collapsed="false">
      <c r="A7" s="6" t="s">
        <v>30</v>
      </c>
      <c r="B7" s="7" t="s">
        <v>31</v>
      </c>
      <c r="C7" s="7" t="s">
        <v>15</v>
      </c>
      <c r="D7" s="6" t="n">
        <v>2</v>
      </c>
      <c r="E7" s="8" t="n">
        <v>65</v>
      </c>
      <c r="F7" s="6" t="s">
        <v>32</v>
      </c>
      <c r="G7" s="9" t="n">
        <f aca="false">D7*E7</f>
        <v>130</v>
      </c>
      <c r="H7" s="2"/>
      <c r="I7" s="2"/>
      <c r="J7" s="2"/>
      <c r="K7" s="2"/>
    </row>
    <row r="8" customFormat="false" ht="19.5" hidden="false" customHeight="true" outlineLevel="0" collapsed="false">
      <c r="A8" s="6" t="s">
        <v>33</v>
      </c>
      <c r="B8" s="7" t="s">
        <v>34</v>
      </c>
      <c r="C8" s="7" t="s">
        <v>19</v>
      </c>
      <c r="D8" s="6" t="n">
        <v>1</v>
      </c>
      <c r="E8" s="8" t="n">
        <v>199</v>
      </c>
      <c r="F8" s="6" t="s">
        <v>29</v>
      </c>
      <c r="G8" s="9" t="n">
        <f aca="false">D8*E8</f>
        <v>199</v>
      </c>
      <c r="H8" s="2"/>
      <c r="I8" s="2"/>
      <c r="J8" s="2"/>
      <c r="K8" s="2"/>
    </row>
    <row r="9" customFormat="false" ht="19.5" hidden="false" customHeight="true" outlineLevel="0" collapsed="false">
      <c r="A9" s="6"/>
      <c r="B9" s="7"/>
      <c r="C9" s="7"/>
      <c r="D9" s="6"/>
      <c r="E9" s="8"/>
      <c r="F9" s="6"/>
      <c r="G9" s="9" t="n">
        <f aca="false">IFERROR(D9*E9,"")</f>
        <v>0</v>
      </c>
      <c r="H9" s="2"/>
      <c r="I9" s="2"/>
      <c r="J9" s="2"/>
      <c r="K9" s="2"/>
    </row>
    <row r="10" customFormat="false" ht="19.5" hidden="false" customHeight="true" outlineLevel="0" collapsed="false">
      <c r="A10" s="6"/>
      <c r="B10" s="7"/>
      <c r="C10" s="7"/>
      <c r="D10" s="6"/>
      <c r="E10" s="8"/>
      <c r="F10" s="6"/>
      <c r="G10" s="9" t="n">
        <f aca="false">IFERROR(D10*E10,"")</f>
        <v>0</v>
      </c>
      <c r="H10" s="2"/>
      <c r="I10" s="2"/>
      <c r="J10" s="2"/>
      <c r="K10" s="2"/>
    </row>
    <row r="11" customFormat="false" ht="19.5" hidden="false" customHeight="true" outlineLevel="0" collapsed="false">
      <c r="A11" s="6"/>
      <c r="B11" s="7"/>
      <c r="C11" s="7"/>
      <c r="D11" s="6"/>
      <c r="E11" s="8"/>
      <c r="F11" s="6"/>
      <c r="G11" s="9" t="n">
        <f aca="false">IFERROR(D11*E11,"")</f>
        <v>0</v>
      </c>
      <c r="H11" s="2"/>
      <c r="I11" s="2"/>
      <c r="J11" s="2"/>
      <c r="K11" s="2"/>
    </row>
    <row r="12" customFormat="false" ht="19.5" hidden="false" customHeight="true" outlineLevel="0" collapsed="false">
      <c r="A12" s="6"/>
      <c r="B12" s="7"/>
      <c r="C12" s="7"/>
      <c r="D12" s="6"/>
      <c r="E12" s="8"/>
      <c r="F12" s="6"/>
      <c r="G12" s="9" t="n">
        <f aca="false">IFERROR(D12*E12,"")</f>
        <v>0</v>
      </c>
      <c r="H12" s="2"/>
      <c r="I12" s="2"/>
      <c r="J12" s="2"/>
      <c r="K12" s="2"/>
    </row>
    <row r="13" customFormat="false" ht="19.5" hidden="false" customHeight="true" outlineLevel="0" collapsed="false">
      <c r="A13" s="6"/>
      <c r="B13" s="7"/>
      <c r="C13" s="7"/>
      <c r="D13" s="6"/>
      <c r="E13" s="8"/>
      <c r="F13" s="6"/>
      <c r="G13" s="9" t="n">
        <f aca="false">IFERROR(D13*E13,"")</f>
        <v>0</v>
      </c>
      <c r="H13" s="2"/>
      <c r="I13" s="2"/>
      <c r="J13" s="2"/>
      <c r="K13" s="2"/>
    </row>
    <row r="14" customFormat="false" ht="19.5" hidden="false" customHeight="true" outlineLevel="0" collapsed="false">
      <c r="A14" s="6"/>
      <c r="B14" s="7"/>
      <c r="C14" s="7"/>
      <c r="D14" s="6"/>
      <c r="E14" s="8"/>
      <c r="F14" s="6"/>
      <c r="G14" s="9" t="n">
        <f aca="false">IFERROR(D14*E14,"")</f>
        <v>0</v>
      </c>
      <c r="H14" s="2"/>
      <c r="I14" s="2"/>
      <c r="J14" s="2"/>
      <c r="K14" s="2"/>
    </row>
    <row r="15" customFormat="false" ht="19.5" hidden="false" customHeight="true" outlineLevel="0" collapsed="false">
      <c r="A15" s="6"/>
      <c r="B15" s="7"/>
      <c r="C15" s="7"/>
      <c r="D15" s="6"/>
      <c r="E15" s="8"/>
      <c r="F15" s="6"/>
      <c r="G15" s="9" t="n">
        <f aca="false">IFERROR(D15*E15,"")</f>
        <v>0</v>
      </c>
      <c r="H15" s="2"/>
      <c r="I15" s="2"/>
      <c r="J15" s="2"/>
      <c r="K15" s="2"/>
    </row>
    <row r="16" customFormat="false" ht="19.5" hidden="false" customHeight="true" outlineLevel="0" collapsed="false">
      <c r="A16" s="6"/>
      <c r="B16" s="7"/>
      <c r="C16" s="7"/>
      <c r="D16" s="6"/>
      <c r="E16" s="8"/>
      <c r="F16" s="6"/>
      <c r="G16" s="9" t="n">
        <f aca="false">IFERROR(D16*E16,"")</f>
        <v>0</v>
      </c>
      <c r="H16" s="2"/>
      <c r="I16" s="2"/>
      <c r="J16" s="2"/>
      <c r="K16" s="2"/>
    </row>
    <row r="17" customFormat="false" ht="19.5" hidden="false" customHeight="true" outlineLevel="0" collapsed="false">
      <c r="A17" s="6"/>
      <c r="B17" s="7"/>
      <c r="C17" s="7"/>
      <c r="D17" s="6"/>
      <c r="E17" s="8"/>
      <c r="F17" s="6"/>
      <c r="G17" s="9" t="n">
        <f aca="false">IFERROR(D17*E17,"")</f>
        <v>0</v>
      </c>
      <c r="H17" s="2"/>
      <c r="I17" s="2"/>
      <c r="J17" s="2"/>
      <c r="K17" s="2"/>
    </row>
    <row r="18" customFormat="false" ht="19.5" hidden="false" customHeight="true" outlineLevel="0" collapsed="false">
      <c r="A18" s="6"/>
      <c r="B18" s="7"/>
      <c r="C18" s="7"/>
      <c r="D18" s="6"/>
      <c r="E18" s="8"/>
      <c r="F18" s="6"/>
      <c r="G18" s="9" t="n">
        <f aca="false">IFERROR(D18*E18,"")</f>
        <v>0</v>
      </c>
      <c r="H18" s="2"/>
      <c r="I18" s="2"/>
      <c r="J18" s="2"/>
      <c r="K18" s="2"/>
    </row>
    <row r="19" customFormat="false" ht="19.5" hidden="false" customHeight="true" outlineLevel="0" collapsed="false">
      <c r="A19" s="6"/>
      <c r="B19" s="7"/>
      <c r="C19" s="7"/>
      <c r="D19" s="6"/>
      <c r="E19" s="8"/>
      <c r="F19" s="6"/>
      <c r="G19" s="9" t="n">
        <f aca="false">IFERROR(D19*E19,"")</f>
        <v>0</v>
      </c>
      <c r="H19" s="2"/>
      <c r="I19" s="2"/>
      <c r="J19" s="2"/>
      <c r="K19" s="2"/>
    </row>
    <row r="20" customFormat="false" ht="19.5" hidden="false" customHeight="true" outlineLevel="0" collapsed="false">
      <c r="A20" s="6"/>
      <c r="B20" s="7"/>
      <c r="C20" s="7"/>
      <c r="D20" s="6"/>
      <c r="E20" s="8"/>
      <c r="F20" s="6"/>
      <c r="G20" s="9" t="n">
        <f aca="false">IFERROR(D20*E20,"")</f>
        <v>0</v>
      </c>
      <c r="H20" s="2"/>
      <c r="I20" s="2"/>
      <c r="J20" s="2"/>
      <c r="K20" s="2"/>
    </row>
    <row r="21" customFormat="false" ht="19.5" hidden="false" customHeight="true" outlineLevel="0" collapsed="false">
      <c r="A21" s="6"/>
      <c r="B21" s="7"/>
      <c r="C21" s="7"/>
      <c r="D21" s="6"/>
      <c r="E21" s="8"/>
      <c r="F21" s="6"/>
      <c r="G21" s="9" t="n">
        <f aca="false">IFERROR(D21*E21,"")</f>
        <v>0</v>
      </c>
      <c r="H21" s="2"/>
      <c r="I21" s="2"/>
      <c r="J21" s="2"/>
      <c r="K21" s="2"/>
    </row>
    <row r="22" customFormat="false" ht="19.5" hidden="false" customHeight="true" outlineLevel="0" collapsed="false">
      <c r="A22" s="6"/>
      <c r="B22" s="7"/>
      <c r="C22" s="7"/>
      <c r="D22" s="6"/>
      <c r="E22" s="8"/>
      <c r="F22" s="6"/>
      <c r="G22" s="9" t="n">
        <f aca="false">IFERROR(D22*E22,"")</f>
        <v>0</v>
      </c>
      <c r="H22" s="2"/>
      <c r="I22" s="2"/>
      <c r="J22" s="2"/>
      <c r="K22" s="2"/>
    </row>
    <row r="23" customFormat="false" ht="19.5" hidden="false" customHeight="true" outlineLevel="0" collapsed="false">
      <c r="A23" s="6"/>
      <c r="B23" s="7"/>
      <c r="C23" s="7"/>
      <c r="D23" s="6"/>
      <c r="E23" s="8"/>
      <c r="F23" s="6"/>
      <c r="G23" s="9" t="n">
        <f aca="false">IFERROR(D23*E23,"")</f>
        <v>0</v>
      </c>
      <c r="H23" s="2"/>
      <c r="I23" s="2"/>
      <c r="J23" s="2"/>
      <c r="K23" s="2"/>
    </row>
    <row r="24" customFormat="false" ht="19.5" hidden="false" customHeight="true" outlineLevel="0" collapsed="false">
      <c r="A24" s="6"/>
      <c r="B24" s="7"/>
      <c r="C24" s="7"/>
      <c r="D24" s="6"/>
      <c r="E24" s="8"/>
      <c r="F24" s="6"/>
      <c r="G24" s="9" t="n">
        <f aca="false">IFERROR(D24*E24,"")</f>
        <v>0</v>
      </c>
      <c r="H24" s="2"/>
      <c r="I24" s="2"/>
      <c r="J24" s="2"/>
      <c r="K24" s="2"/>
    </row>
    <row r="25" customFormat="false" ht="19.5" hidden="false" customHeight="true" outlineLevel="0" collapsed="false">
      <c r="A25" s="6"/>
      <c r="B25" s="7"/>
      <c r="C25" s="7"/>
      <c r="D25" s="6"/>
      <c r="E25" s="8"/>
      <c r="F25" s="6"/>
      <c r="G25" s="9" t="n">
        <f aca="false">IFERROR(D25*E25,"")</f>
        <v>0</v>
      </c>
      <c r="H25" s="2"/>
      <c r="I25" s="2"/>
      <c r="J25" s="2"/>
      <c r="K25" s="2"/>
    </row>
    <row r="26" customFormat="false" ht="19.5" hidden="false" customHeight="true" outlineLevel="0" collapsed="false">
      <c r="A26" s="6"/>
      <c r="B26" s="7"/>
      <c r="C26" s="7"/>
      <c r="D26" s="6"/>
      <c r="E26" s="8"/>
      <c r="F26" s="6"/>
      <c r="G26" s="9" t="n">
        <f aca="false">IFERROR(D26*E26,"")</f>
        <v>0</v>
      </c>
      <c r="H26" s="2"/>
      <c r="I26" s="2"/>
      <c r="J26" s="2"/>
      <c r="K26" s="2"/>
    </row>
    <row r="27" customFormat="false" ht="19.5" hidden="false" customHeight="true" outlineLevel="0" collapsed="false">
      <c r="A27" s="6"/>
      <c r="B27" s="7"/>
      <c r="C27" s="7"/>
      <c r="D27" s="6"/>
      <c r="E27" s="8"/>
      <c r="F27" s="6"/>
      <c r="G27" s="9" t="n">
        <f aca="false">IFERROR(D27*E27,"")</f>
        <v>0</v>
      </c>
      <c r="H27" s="2"/>
      <c r="I27" s="2"/>
      <c r="J27" s="2"/>
      <c r="K27" s="2"/>
    </row>
    <row r="28" customFormat="false" ht="19.5" hidden="false" customHeight="true" outlineLevel="0" collapsed="false">
      <c r="A28" s="6"/>
      <c r="B28" s="7"/>
      <c r="C28" s="7"/>
      <c r="D28" s="6"/>
      <c r="E28" s="8"/>
      <c r="F28" s="6"/>
      <c r="G28" s="9" t="n">
        <f aca="false">IFERROR(D28*E28,"")</f>
        <v>0</v>
      </c>
      <c r="H28" s="2"/>
      <c r="I28" s="2"/>
      <c r="J28" s="2"/>
      <c r="K28" s="2"/>
    </row>
    <row r="29" customFormat="false" ht="19.5" hidden="false" customHeight="true" outlineLevel="0" collapsed="false">
      <c r="A29" s="6"/>
      <c r="B29" s="7"/>
      <c r="C29" s="7"/>
      <c r="D29" s="6"/>
      <c r="E29" s="8"/>
      <c r="F29" s="6"/>
      <c r="G29" s="9" t="n">
        <f aca="false">IFERROR(D29*E29,"")</f>
        <v>0</v>
      </c>
      <c r="H29" s="2"/>
      <c r="I29" s="2"/>
      <c r="J29" s="2"/>
      <c r="K29" s="2"/>
    </row>
    <row r="30" customFormat="false" ht="19.5" hidden="false" customHeight="true" outlineLevel="0" collapsed="false">
      <c r="A30" s="6"/>
      <c r="B30" s="7"/>
      <c r="C30" s="7"/>
      <c r="D30" s="6"/>
      <c r="E30" s="8"/>
      <c r="F30" s="6"/>
      <c r="G30" s="9" t="n">
        <f aca="false">IFERROR(D30*E30,"")</f>
        <v>0</v>
      </c>
      <c r="H30" s="2"/>
      <c r="I30" s="2"/>
      <c r="J30" s="2"/>
      <c r="K30" s="2"/>
    </row>
    <row r="31" customFormat="false" ht="19.5" hidden="false" customHeight="true" outlineLevel="0" collapsed="false">
      <c r="A31" s="6"/>
      <c r="B31" s="7"/>
      <c r="C31" s="7"/>
      <c r="D31" s="6"/>
      <c r="E31" s="8"/>
      <c r="F31" s="6"/>
      <c r="G31" s="9" t="n">
        <f aca="false">IFERROR(D31*E31,"")</f>
        <v>0</v>
      </c>
      <c r="H31" s="2"/>
      <c r="I31" s="2"/>
      <c r="J31" s="2"/>
      <c r="K31" s="2"/>
    </row>
    <row r="32" customFormat="false" ht="19.5" hidden="false" customHeight="true" outlineLevel="0" collapsed="false">
      <c r="A32" s="6"/>
      <c r="B32" s="7"/>
      <c r="C32" s="7"/>
      <c r="D32" s="6"/>
      <c r="E32" s="8"/>
      <c r="F32" s="6"/>
      <c r="G32" s="9" t="n">
        <f aca="false">IFERROR(D32*E32,"")</f>
        <v>0</v>
      </c>
      <c r="H32" s="2"/>
      <c r="I32" s="2"/>
      <c r="J32" s="2"/>
      <c r="K32" s="2"/>
    </row>
    <row r="33" customFormat="false" ht="19.5" hidden="false" customHeight="true" outlineLevel="0" collapsed="false">
      <c r="A33" s="6"/>
      <c r="B33" s="7"/>
      <c r="C33" s="7"/>
      <c r="D33" s="6"/>
      <c r="E33" s="8"/>
      <c r="F33" s="6"/>
      <c r="G33" s="9" t="n">
        <f aca="false">IFERROR(D33*E33,"")</f>
        <v>0</v>
      </c>
      <c r="H33" s="2"/>
      <c r="I33" s="2"/>
      <c r="J33" s="2"/>
      <c r="K33" s="2"/>
    </row>
    <row r="34" customFormat="false" ht="19.5" hidden="false" customHeight="true" outlineLevel="0" collapsed="false">
      <c r="A34" s="6"/>
      <c r="B34" s="7"/>
      <c r="C34" s="7"/>
      <c r="D34" s="6"/>
      <c r="E34" s="8"/>
      <c r="F34" s="6"/>
      <c r="G34" s="9" t="n">
        <f aca="false">IFERROR(D34*E34,"")</f>
        <v>0</v>
      </c>
      <c r="H34" s="2"/>
      <c r="I34" s="2"/>
      <c r="J34" s="2"/>
      <c r="K34" s="2"/>
    </row>
    <row r="35" customFormat="false" ht="19.5" hidden="false" customHeight="true" outlineLevel="0" collapsed="false">
      <c r="A35" s="6"/>
      <c r="B35" s="7"/>
      <c r="C35" s="7"/>
      <c r="D35" s="6"/>
      <c r="E35" s="8"/>
      <c r="F35" s="6"/>
      <c r="G35" s="9" t="n">
        <f aca="false">IFERROR(D35*E35,"")</f>
        <v>0</v>
      </c>
      <c r="H35" s="2"/>
      <c r="I35" s="2"/>
      <c r="J35" s="2"/>
      <c r="K35" s="2"/>
    </row>
    <row r="36" customFormat="false" ht="19.5" hidden="false" customHeight="true" outlineLevel="0" collapsed="false">
      <c r="A36" s="6"/>
      <c r="B36" s="7"/>
      <c r="C36" s="7"/>
      <c r="D36" s="6"/>
      <c r="E36" s="8"/>
      <c r="F36" s="6"/>
      <c r="G36" s="9" t="n">
        <f aca="false">IFERROR(D36*E36,"")</f>
        <v>0</v>
      </c>
      <c r="H36" s="2"/>
      <c r="I36" s="2"/>
      <c r="J36" s="2"/>
      <c r="K36" s="2"/>
    </row>
    <row r="37" customFormat="false" ht="19.5" hidden="false" customHeight="true" outlineLevel="0" collapsed="false">
      <c r="A37" s="6"/>
      <c r="B37" s="7"/>
      <c r="C37" s="7"/>
      <c r="D37" s="6"/>
      <c r="E37" s="8"/>
      <c r="F37" s="6"/>
      <c r="G37" s="9" t="n">
        <f aca="false">IFERROR(D37*E37,"")</f>
        <v>0</v>
      </c>
      <c r="H37" s="2"/>
      <c r="I37" s="2"/>
      <c r="J37" s="2"/>
      <c r="K37" s="2"/>
    </row>
    <row r="38" customFormat="false" ht="19.5" hidden="false" customHeight="true" outlineLevel="0" collapsed="false">
      <c r="A38" s="6"/>
      <c r="B38" s="7"/>
      <c r="C38" s="7"/>
      <c r="D38" s="6"/>
      <c r="E38" s="8"/>
      <c r="F38" s="6"/>
      <c r="G38" s="9" t="n">
        <f aca="false">IFERROR(D38*E38,"")</f>
        <v>0</v>
      </c>
      <c r="H38" s="2"/>
      <c r="I38" s="2"/>
      <c r="J38" s="2"/>
      <c r="K38" s="2"/>
    </row>
    <row r="39" customFormat="false" ht="19.5" hidden="false" customHeight="true" outlineLevel="0" collapsed="false">
      <c r="A39" s="6"/>
      <c r="B39" s="7"/>
      <c r="C39" s="7"/>
      <c r="D39" s="6"/>
      <c r="E39" s="8"/>
      <c r="F39" s="6"/>
      <c r="G39" s="9" t="n">
        <f aca="false">IFERROR(D39*E39,"")</f>
        <v>0</v>
      </c>
      <c r="H39" s="2"/>
      <c r="I39" s="2"/>
      <c r="J39" s="2"/>
      <c r="K39" s="2"/>
    </row>
    <row r="40" customFormat="false" ht="19.5" hidden="false" customHeight="true" outlineLevel="0" collapsed="false">
      <c r="A40" s="6"/>
      <c r="B40" s="7"/>
      <c r="C40" s="7"/>
      <c r="D40" s="6"/>
      <c r="E40" s="8"/>
      <c r="F40" s="6"/>
      <c r="G40" s="9" t="n">
        <f aca="false">IFERROR(D40*E40,"")</f>
        <v>0</v>
      </c>
      <c r="H40" s="2"/>
      <c r="I40" s="2"/>
      <c r="J40" s="2"/>
      <c r="K40" s="2"/>
    </row>
    <row r="41" customFormat="false" ht="19.5" hidden="false" customHeight="true" outlineLevel="0" collapsed="false">
      <c r="A41" s="6"/>
      <c r="B41" s="7"/>
      <c r="C41" s="7"/>
      <c r="D41" s="6"/>
      <c r="E41" s="8"/>
      <c r="F41" s="6"/>
      <c r="G41" s="9" t="n">
        <f aca="false">IFERROR(D41*E41,"")</f>
        <v>0</v>
      </c>
      <c r="H41" s="2"/>
      <c r="I41" s="2"/>
      <c r="J41" s="2"/>
      <c r="K41" s="2"/>
    </row>
    <row r="42" customFormat="false" ht="19.5" hidden="false" customHeight="true" outlineLevel="0" collapsed="false">
      <c r="A42" s="6"/>
      <c r="B42" s="7"/>
      <c r="C42" s="7"/>
      <c r="D42" s="6"/>
      <c r="E42" s="8"/>
      <c r="F42" s="6"/>
      <c r="G42" s="9" t="n">
        <f aca="false">IFERROR(D42*E42,"")</f>
        <v>0</v>
      </c>
      <c r="H42" s="2"/>
      <c r="I42" s="2"/>
      <c r="J42" s="2"/>
      <c r="K42" s="2"/>
    </row>
    <row r="43" customFormat="false" ht="19.5" hidden="false" customHeight="true" outlineLevel="0" collapsed="false">
      <c r="A43" s="6"/>
      <c r="B43" s="7"/>
      <c r="C43" s="7"/>
      <c r="D43" s="6"/>
      <c r="E43" s="8"/>
      <c r="F43" s="6"/>
      <c r="G43" s="9" t="n">
        <f aca="false">IFERROR(D43*E43,"")</f>
        <v>0</v>
      </c>
      <c r="H43" s="2"/>
      <c r="I43" s="2"/>
      <c r="J43" s="2"/>
      <c r="K43" s="2"/>
    </row>
    <row r="44" customFormat="false" ht="19.5" hidden="false" customHeight="true" outlineLevel="0" collapsed="false">
      <c r="A44" s="6"/>
      <c r="B44" s="7"/>
      <c r="C44" s="7"/>
      <c r="D44" s="6"/>
      <c r="E44" s="8"/>
      <c r="F44" s="6"/>
      <c r="G44" s="9" t="n">
        <f aca="false">IFERROR(D44*E44,"")</f>
        <v>0</v>
      </c>
      <c r="H44" s="2"/>
      <c r="I44" s="2"/>
      <c r="J44" s="2"/>
      <c r="K44" s="2"/>
    </row>
    <row r="45" customFormat="false" ht="19.5" hidden="false" customHeight="true" outlineLevel="0" collapsed="false">
      <c r="A45" s="6"/>
      <c r="B45" s="7"/>
      <c r="C45" s="7"/>
      <c r="D45" s="6"/>
      <c r="E45" s="8"/>
      <c r="F45" s="6"/>
      <c r="G45" s="9" t="n">
        <f aca="false">IFERROR(D45*E45,"")</f>
        <v>0</v>
      </c>
      <c r="H45" s="2"/>
      <c r="I45" s="2"/>
      <c r="J45" s="2"/>
      <c r="K45" s="2"/>
    </row>
    <row r="46" customFormat="false" ht="19.5" hidden="false" customHeight="true" outlineLevel="0" collapsed="false">
      <c r="A46" s="6"/>
      <c r="B46" s="7"/>
      <c r="C46" s="7"/>
      <c r="D46" s="6"/>
      <c r="E46" s="8"/>
      <c r="F46" s="6"/>
      <c r="G46" s="9" t="n">
        <f aca="false">IFERROR(D46*E46,"")</f>
        <v>0</v>
      </c>
      <c r="H46" s="2"/>
      <c r="I46" s="2"/>
      <c r="J46" s="2"/>
      <c r="K46" s="2"/>
    </row>
    <row r="47" customFormat="false" ht="19.5" hidden="false" customHeight="true" outlineLevel="0" collapsed="false">
      <c r="A47" s="6"/>
      <c r="B47" s="7"/>
      <c r="C47" s="7"/>
      <c r="D47" s="6"/>
      <c r="E47" s="8"/>
      <c r="F47" s="6"/>
      <c r="G47" s="9" t="n">
        <f aca="false">IFERROR(D47*E47,"")</f>
        <v>0</v>
      </c>
      <c r="H47" s="2"/>
      <c r="I47" s="2"/>
      <c r="J47" s="2"/>
      <c r="K47" s="2"/>
    </row>
    <row r="48" customFormat="false" ht="19.5" hidden="false" customHeight="true" outlineLevel="0" collapsed="false">
      <c r="A48" s="6"/>
      <c r="B48" s="7"/>
      <c r="C48" s="7"/>
      <c r="D48" s="6"/>
      <c r="E48" s="8"/>
      <c r="F48" s="6"/>
      <c r="G48" s="9" t="n">
        <f aca="false">IFERROR(D48*E48,"")</f>
        <v>0</v>
      </c>
      <c r="H48" s="2"/>
      <c r="I48" s="2"/>
      <c r="J48" s="2"/>
      <c r="K48" s="2"/>
    </row>
    <row r="49" customFormat="false" ht="19.5" hidden="false" customHeight="true" outlineLevel="0" collapsed="false">
      <c r="A49" s="6"/>
      <c r="B49" s="7"/>
      <c r="C49" s="7"/>
      <c r="D49" s="6"/>
      <c r="E49" s="8"/>
      <c r="F49" s="6"/>
      <c r="G49" s="9" t="n">
        <f aca="false">IFERROR(D49*E49,"")</f>
        <v>0</v>
      </c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7.75" hidden="false" customHeight="true" outlineLevel="0" collapsed="false">
      <c r="A51" s="10" t="s">
        <v>35</v>
      </c>
      <c r="B51" s="10"/>
      <c r="C51" s="10"/>
      <c r="D51" s="10"/>
      <c r="E51" s="10"/>
      <c r="F51" s="10"/>
      <c r="G51" s="11" t="n">
        <f aca="false">SUM(G6:G50)</f>
        <v>458.9</v>
      </c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4">
    <mergeCell ref="A1:G1"/>
    <mergeCell ref="A2:G2"/>
    <mergeCell ref="A3:G3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36</v>
      </c>
      <c r="B1" s="1"/>
      <c r="C1" s="1"/>
      <c r="D1" s="1"/>
      <c r="E1" s="1"/>
      <c r="F1" s="2"/>
      <c r="G1" s="2"/>
    </row>
    <row r="2" customFormat="false" ht="15" hidden="false" customHeight="false" outlineLevel="0" collapsed="false">
      <c r="A2" s="3" t="s">
        <v>37</v>
      </c>
      <c r="B2" s="3"/>
      <c r="C2" s="3"/>
      <c r="D2" s="3"/>
      <c r="E2" s="3"/>
      <c r="F2" s="2"/>
      <c r="G2" s="2"/>
    </row>
    <row r="3" customFormat="false" ht="3.75" hidden="false" customHeight="true" outlineLevel="0" collapsed="false">
      <c r="A3" s="4"/>
      <c r="B3" s="4"/>
      <c r="C3" s="4"/>
      <c r="D3" s="4"/>
      <c r="E3" s="4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31.5" hidden="false" customHeight="true" outlineLevel="0" collapsed="false">
      <c r="A5" s="12" t="s">
        <v>38</v>
      </c>
      <c r="B5" s="12"/>
      <c r="C5" s="13" t="n">
        <f aca="false">Entradas!H51</f>
        <v>1440</v>
      </c>
      <c r="D5" s="14" t="s">
        <v>39</v>
      </c>
      <c r="E5" s="14"/>
      <c r="F5" s="2"/>
      <c r="G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31.5" hidden="false" customHeight="true" outlineLevel="0" collapsed="false">
      <c r="A7" s="12" t="s">
        <v>40</v>
      </c>
      <c r="B7" s="12"/>
      <c r="C7" s="13" t="n">
        <f aca="false">Saidas!G51</f>
        <v>458.9</v>
      </c>
      <c r="D7" s="14" t="s">
        <v>41</v>
      </c>
      <c r="E7" s="14"/>
      <c r="F7" s="2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31.5" hidden="false" customHeight="true" outlineLevel="0" collapsed="false">
      <c r="A9" s="12" t="s">
        <v>42</v>
      </c>
      <c r="B9" s="12"/>
      <c r="C9" s="13" t="n">
        <f aca="false">Saidas!G51-Entradas!H51</f>
        <v>-981.1</v>
      </c>
      <c r="D9" s="14" t="s">
        <v>43</v>
      </c>
      <c r="E9" s="14"/>
      <c r="F9" s="2"/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31.5" hidden="false" customHeight="true" outlineLevel="0" collapsed="false">
      <c r="A11" s="12" t="s">
        <v>44</v>
      </c>
      <c r="B11" s="12"/>
      <c r="C11" s="15" t="n">
        <f aca="false">IFERROR((Saidas!G51-Entradas!H51)/Saidas!G51,0)</f>
        <v>-2.13793854870342</v>
      </c>
      <c r="D11" s="14" t="s">
        <v>45</v>
      </c>
      <c r="E11" s="14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31.5" hidden="false" customHeight="true" outlineLevel="0" collapsed="false">
      <c r="A13" s="12" t="s">
        <v>46</v>
      </c>
      <c r="B13" s="12"/>
      <c r="C13" s="15" t="n">
        <f aca="false">IFERROR((Saidas!G51-Entradas!H51)/Entradas!H51,0)</f>
        <v>-0.681319444444445</v>
      </c>
      <c r="D13" s="14" t="s">
        <v>47</v>
      </c>
      <c r="E13" s="14"/>
      <c r="F13" s="2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21.75" hidden="false" customHeight="true" outlineLevel="0" collapsed="false">
      <c r="A16" s="16" t="s">
        <v>48</v>
      </c>
      <c r="B16" s="16"/>
      <c r="C16" s="16"/>
      <c r="D16" s="16"/>
      <c r="E16" s="16"/>
      <c r="F16" s="2"/>
      <c r="G16" s="2"/>
    </row>
    <row r="17" customFormat="false" ht="21.75" hidden="false" customHeight="true" outlineLevel="0" collapsed="false">
      <c r="A17" s="17" t="s">
        <v>49</v>
      </c>
      <c r="B17" s="17"/>
      <c r="C17" s="17"/>
      <c r="D17" s="17"/>
      <c r="E17" s="17"/>
      <c r="F17" s="2"/>
      <c r="G17" s="2"/>
    </row>
    <row r="18" customFormat="false" ht="21.75" hidden="false" customHeight="true" outlineLevel="0" collapsed="false">
      <c r="A18" s="17" t="s">
        <v>50</v>
      </c>
      <c r="B18" s="17"/>
      <c r="C18" s="17"/>
      <c r="D18" s="17"/>
      <c r="E18" s="17"/>
      <c r="F18" s="2"/>
      <c r="G18" s="2"/>
    </row>
    <row r="19" customFormat="false" ht="21.75" hidden="false" customHeight="true" outlineLevel="0" collapsed="false">
      <c r="A19" s="17" t="s">
        <v>51</v>
      </c>
      <c r="B19" s="17"/>
      <c r="C19" s="17"/>
      <c r="D19" s="17"/>
      <c r="E19" s="17"/>
      <c r="F19" s="2"/>
      <c r="G19" s="2"/>
    </row>
    <row r="20" customFormat="false" ht="21.75" hidden="false" customHeight="true" outlineLevel="0" collapsed="false">
      <c r="A20" s="17" t="s">
        <v>52</v>
      </c>
      <c r="B20" s="17"/>
      <c r="C20" s="17"/>
      <c r="D20" s="17"/>
      <c r="E20" s="17"/>
      <c r="F20" s="2"/>
      <c r="G20" s="2"/>
    </row>
    <row r="21" customFormat="false" ht="21.75" hidden="false" customHeight="true" outlineLevel="0" collapsed="false">
      <c r="A21" s="17" t="s">
        <v>53</v>
      </c>
      <c r="B21" s="17"/>
      <c r="C21" s="17"/>
      <c r="D21" s="17"/>
      <c r="E21" s="17"/>
      <c r="F21" s="2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</sheetData>
  <mergeCells count="19">
    <mergeCell ref="A1:E1"/>
    <mergeCell ref="A2:E2"/>
    <mergeCell ref="A3:E3"/>
    <mergeCell ref="A5:B5"/>
    <mergeCell ref="D5:E5"/>
    <mergeCell ref="A7:B7"/>
    <mergeCell ref="D7:E7"/>
    <mergeCell ref="A9:B9"/>
    <mergeCell ref="D9:E9"/>
    <mergeCell ref="A11:B11"/>
    <mergeCell ref="D11:E11"/>
    <mergeCell ref="A13:B13"/>
    <mergeCell ref="D13:E13"/>
    <mergeCell ref="A16:E16"/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2026-05-02T16:44:11Z</dcterms:created>
  <dc:creator>openpyxl</dc:creator>
  <dc:description/>
  <dc:language>en-US</dc:language>
  <cp:lastModifiedBy/>
  <dcterms:modified xsi:type="dcterms:W3CDTF">2026-05-02T16:44:12Z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